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visible" r:id="rId2"/>
    <sheet name="IN_PACKED" sheetId="3" state="visible" r:id="rId3"/>
    <sheet name="IN_HRP" sheetId="4" state="visible" r:id="rId4"/>
    <sheet name="IN_SHIPPED_LPNS" sheetId="5" state="visible" r:id="rId5"/>
    <sheet name="IN_STAFFING" sheetId="6" state="visible" r:id="rId6"/>
    <sheet name="IN_TARGETS_DAILY" sheetId="7" state="visible" r:id="rId7"/>
    <sheet name="IN_AUDITS" sheetId="8" state="visible" r:id="rId8"/>
    <sheet name="T_DISPATCH_KPI" sheetId="9" state="visible" r:id="rId9"/>
    <sheet name="T_DISPATCH_DAILY" sheetId="10" state="visible" r:id="rId10"/>
    <sheet name="ACTION_HRP" sheetId="11" state="visible" r:id="rId11"/>
    <sheet name="ACTION_PACKED" sheetId="12" state="visible" r:id="rId12"/>
    <sheet name="HISTORY" sheetId="13" state="visible" r:id="rId13"/>
    <sheet name="WEEKLY_SUMMARY" sheetId="14" state="visible" r:id="rId14"/>
    <sheet name="DATA_QUALIT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%"/>
    <numFmt numFmtId="167" formatCode="$#,##0"/>
    <numFmt numFmtId="168" formatCode="dd/mm/yyyy"/>
  </numFmts>
  <fonts count="14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2"/>
    </font>
    <font>
      <b val="1"/>
      <color rgb="00191970"/>
      <sz val="14"/>
    </font>
    <font>
      <color rgb="00FFFFFF"/>
    </font>
    <font>
      <b val="1"/>
      <color rgb="00FFFFFF"/>
      <sz val="18"/>
    </font>
    <font>
      <b val="1"/>
      <color rgb="00FFFFFF"/>
    </font>
    <font>
      <b val="1"/>
      <color rgb="00C8C8C8"/>
      <sz val="9"/>
    </font>
    <font>
      <b val="1"/>
      <color rgb="00FFFFFF"/>
      <sz val="22"/>
    </font>
    <font>
      <b val="1"/>
      <color rgb="00FFFFFF"/>
      <sz val="12"/>
    </font>
    <font>
      <i val="1"/>
      <color rgb="00C8C8C8"/>
    </font>
  </fonts>
  <fills count="10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1E1E1E"/>
      </patternFill>
    </fill>
    <fill>
      <patternFill patternType="solid">
        <fgColor rgb="FF323232"/>
      </patternFill>
    </fill>
    <fill>
      <patternFill patternType="solid">
        <fgColor rgb="FFFF0000"/>
      </patternFill>
    </fill>
    <fill>
      <patternFill patternType="solid">
        <fgColor rgb="FF0070C0"/>
      </patternFill>
    </fill>
    <fill>
      <patternFill patternType="solid">
        <fgColor rgb="FFFFA500"/>
      </patternFill>
    </fill>
    <fill>
      <patternFill patternType="solid">
        <fgColor rgb="FF50C8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7" fillId="4" borderId="0" pivotButton="0" quotePrefix="0" xfId="0"/>
    <xf numFmtId="0" fontId="9" fillId="4" borderId="0" pivotButton="0" quotePrefix="0" xfId="0"/>
    <xf numFmtId="0" fontId="10" fillId="5" borderId="0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167" fontId="11" fillId="6" borderId="0" applyAlignment="1" pivotButton="0" quotePrefix="0" xfId="0">
      <alignment horizontal="center" vertical="center"/>
    </xf>
    <xf numFmtId="0" fontId="12" fillId="4" borderId="0" pivotButton="0" quotePrefix="0" xfId="0"/>
    <xf numFmtId="0" fontId="13" fillId="4" borderId="0" pivotButton="0" quotePrefix="0" xfId="0"/>
    <xf numFmtId="0" fontId="9" fillId="2" borderId="0" pivotButton="0" quotePrefix="0" xfId="0"/>
    <xf numFmtId="0" fontId="9" fillId="9" borderId="0" pivotButton="0" quotePrefix="0" xfId="0"/>
    <xf numFmtId="168" fontId="7" fillId="5" borderId="0" pivotButton="0" quotePrefix="0" xfId="0"/>
    <xf numFmtId="166" fontId="7" fillId="5" borderId="0" pivotButton="0" quotePrefix="0" xfId="0"/>
    <xf numFmtId="0" fontId="7" fillId="5" borderId="0" pivotButton="0" quotePrefix="0" xfId="0"/>
    <xf numFmtId="0" fontId="9" fillId="8" borderId="0" pivotButton="0" quotePrefix="0" xfId="0"/>
    <xf numFmtId="0" fontId="9" fillId="6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5"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50C878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  <dxf>
      <font>
        <b val="1"/>
      </font>
      <fill>
        <patternFill patternType="solid">
          <f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tblAudits" displayName="tblAudits" ref="A1:H2" headerRowCount="1">
  <autoFilter ref="A1:H2"/>
  <tableColumns count="8">
    <tableColumn id="1" name="BusinessDate"/>
    <tableColumn id="2" name="ShiftName"/>
    <tableColumn id="3" name="AuditorName"/>
    <tableColumn id="4" name="AuditCount"/>
    <tableColumn id="5" name="PassCount"/>
    <tableColumn id="6" name="FailCount"/>
    <tableColumn id="7" name="PassRate"/>
    <tableColumn id="8" name="Notes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tblDispatchKPI" displayName="tblDispatchKPI" ref="A1:M2" headerRowCount="1">
  <autoFilter ref="A1:M2"/>
  <tableColumns count="13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  <tableColumn id="9" name="AuditCount"/>
    <tableColumn id="10" name="AuditTarget"/>
    <tableColumn id="11" name="AuditPct"/>
    <tableColumn id="12" name="WeekNumber"/>
    <tableColumn id="13" name="Mont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DispatchDaily" displayName="tblDispatchDaily" ref="A1:F2" headerRowCount="1">
  <autoFilter ref="A1:F2"/>
  <tableColumns count="6">
    <tableColumn id="1" name="BusinessDate"/>
    <tableColumn id="2" name="TotalShipped"/>
    <tableColumn id="3" name="TotalStaff"/>
    <tableColumn id="4" name="TotalExpected"/>
    <tableColumn id="5" name="DailyPerformancePct"/>
    <tableColumn id="6" name="WeekNumbe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History" displayName="tblHistory" ref="A1:N2" headerRowCount="1">
  <autoFilter ref="A1:N2"/>
  <tableColumns count="14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  <tableColumn id="11" name="WeekNumber"/>
    <tableColumn id="12" name="AuditCount"/>
    <tableColumn id="13" name="HRP_CostAtRisk"/>
    <tableColumn id="14" name="Packed_OverdueRetail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WeeklySummary" displayName="tblWeeklySummary" ref="A3:H4" headerRowCount="1">
  <autoFilter ref="A3:H4"/>
  <tableColumns count="8">
    <tableColumn id="1" name="WeekNumber"/>
    <tableColumn id="2" name="WeekYear"/>
    <tableColumn id="3" name="WeekStartDate"/>
    <tableColumn id="4" name="TotalShipped"/>
    <tableColumn id="5" name="TotalExpected"/>
    <tableColumn id="6" name="WeeklyPerformancePct"/>
    <tableColumn id="7" name="TotalStaff"/>
    <tableColumn id="8" name="DaysWith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1" t="inlineStr">
        <is>
          <t>WAREHOUSE / DISPATCH KPI DASHBOARD</t>
        </is>
      </c>
    </row>
    <row r="2">
      <c r="A2" s="2" t="inlineStr">
        <is>
          <t>Last Refreshed:</t>
        </is>
      </c>
      <c r="B2" s="3">
        <f>TEXT(NOW(),"dd/mm/yyyy hh:mm")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4" t="inlineStr">
        <is>
          <t>HRP OPEN ITEMS</t>
        </is>
      </c>
      <c r="E3" s="2" t="n"/>
      <c r="F3" s="4" t="inlineStr">
        <is>
          <t>PACKED OVERDUE</t>
        </is>
      </c>
      <c r="I3" s="2" t="n"/>
      <c r="J3" s="4" t="inlineStr">
        <is>
          <t>DISPATCH PERF TODAY</t>
        </is>
      </c>
      <c r="M3" s="2" t="n"/>
      <c r="N3" s="2" t="n"/>
    </row>
    <row r="4" ht="40" customHeight="1">
      <c r="A4" s="2" t="n"/>
      <c r="B4" s="5">
        <f>COUNTIF(tblHRP[IncludeInHRP],TRUE)</f>
        <v/>
      </c>
      <c r="E4" s="2" t="n"/>
      <c r="F4" s="5">
        <f>COUNTIF(tblPacked[ActionFlag],TRUE)</f>
        <v/>
      </c>
      <c r="I4" s="2" t="n"/>
      <c r="J4" s="6">
        <f>IFERROR(TEXT(SUMIF(tblDispatchDaily[BusinessDate],TODAY(),tblDispatchDaily[DailyPerformancePct]),"0.0%"),"N/A")</f>
        <v/>
      </c>
      <c r="M4" s="2" t="n"/>
      <c r="N4" s="2" t="n"/>
    </row>
    <row r="5">
      <c r="A5" s="2" t="n"/>
      <c r="E5" s="2" t="n"/>
      <c r="I5" s="2" t="n"/>
      <c r="M5" s="2" t="n"/>
      <c r="N5" s="2" t="n"/>
    </row>
    <row r="6">
      <c r="A6" s="2" t="n"/>
      <c r="E6" s="2" t="n"/>
      <c r="I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4" t="inlineStr">
        <is>
          <t>DUPLICATE LPNs</t>
        </is>
      </c>
      <c r="E8" s="2" t="n"/>
      <c r="F8" s="4" t="inlineStr">
        <is>
          <t>STAFF TODAY</t>
        </is>
      </c>
      <c r="I8" s="2" t="n"/>
      <c r="J8" s="4" t="inlineStr">
        <is>
          <t>CARTONS SHIPPED TODAY</t>
        </is>
      </c>
      <c r="M8" s="2" t="n"/>
      <c r="N8" s="2" t="n"/>
    </row>
    <row r="9" ht="40" customHeight="1">
      <c r="A9" s="2" t="n"/>
      <c r="B9" s="7">
        <f>COUNTIF(tblShipped[DupFlag],TRUE)</f>
        <v/>
      </c>
      <c r="E9" s="2" t="n"/>
      <c r="F9" s="6">
        <f>SUMIF(tblDispatchKPI[BusinessDate],TODAY(),tblDispatchKPI[TotalStaff])</f>
        <v/>
      </c>
      <c r="I9" s="2" t="n"/>
      <c r="J9" s="6">
        <f>SUMIF(tblDispatchKPI[BusinessDate],TODAY(),tblDispatchKPI[ShippedCartons])</f>
        <v/>
      </c>
      <c r="M9" s="2" t="n"/>
      <c r="N9" s="2" t="n"/>
    </row>
    <row r="10">
      <c r="A10" s="2" t="n"/>
      <c r="E10" s="2" t="n"/>
      <c r="I10" s="2" t="n"/>
      <c r="M10" s="2" t="n"/>
      <c r="N10" s="2" t="n"/>
    </row>
    <row r="11">
      <c r="A11" s="2" t="n"/>
      <c r="E11" s="2" t="n"/>
      <c r="I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4" t="inlineStr">
        <is>
          <t>HRP COST AT RISK ($)</t>
        </is>
      </c>
      <c r="E13" s="2" t="n"/>
      <c r="F13" s="4" t="inlineStr">
        <is>
          <t>PACKED OVERDUE RETAIL ($)</t>
        </is>
      </c>
      <c r="I13" s="2" t="n"/>
      <c r="J13" s="4" t="inlineStr">
        <is>
          <t>AUDITS COMPLETED TODAY</t>
        </is>
      </c>
      <c r="M13" s="2" t="n"/>
      <c r="N13" s="2" t="n"/>
    </row>
    <row r="14" ht="40" customHeight="1">
      <c r="A14" s="2" t="n"/>
      <c r="B14" s="8">
        <f>SUMIF(tblHRP[IncludeInHRP],TRUE,tblHRP[COST_VALUE])</f>
        <v/>
      </c>
      <c r="E14" s="2" t="n"/>
      <c r="F14" s="8">
        <f>SUMIF(tblPacked[ActionFlag],TRUE,tblPacked[TOT_RETAIL])</f>
        <v/>
      </c>
      <c r="I14" s="2" t="n"/>
      <c r="J14" s="6">
        <f>SUMIF(tblAudits[BusinessDate],TODAY(),tblAudits[AuditCount])</f>
        <v/>
      </c>
      <c r="M14" s="2" t="n"/>
      <c r="N14" s="2" t="n"/>
    </row>
    <row r="15">
      <c r="A15" s="2" t="n"/>
      <c r="E15" s="2" t="n"/>
      <c r="I15" s="2" t="n"/>
      <c r="M15" s="2" t="n"/>
      <c r="N15" s="2" t="n"/>
    </row>
    <row r="16">
      <c r="A16" s="2" t="n"/>
      <c r="E16" s="2" t="n"/>
      <c r="I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9" t="inlineStr">
        <is>
          <t>CHARTS AREA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10" t="inlineStr">
        <is>
          <t>After adding data to the input sheets, use the 'Refresh All' button to update charts. Charts must be inserted manually in the Python version: select the RAG SUMMARY or T_DISPATCH_DAILY range, then Insert &gt; Chart.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3" t="inlineStr">
        <is>
          <t>FILTER GUIDE: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inlineStr">
        <is>
          <t>Use Excel AutoFilter on T_DISPATCH_KPI for ShiftName / BusinessDate / RAG filters.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inlineStr">
        <is>
          <t>For pivot-based slicers: Insert PivotTable from tblDispatchKPI, then Insert &gt; Slicer.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3" t="inlineStr">
        <is>
          <t>BUTTONS (add manually or run the VBA RefreshAll / TakeDailySnapshot macros):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10" t="inlineStr">
        <is>
          <t>REFRESH ALL             -&gt; Recalculates all formulas &amp; refreshes PivotTables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10" t="inlineStr">
        <is>
          <t>TAKE DAILY SNAPSHOT     -&gt; Appends current KPIs to the HISTORY sheet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10" t="inlineStr">
        <is>
          <t>POPULATE ACTION SHEETS  -&gt; Copies filtered data to ACTION_HRP and ACTION_PACKED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11" t="inlineStr">
        <is>
          <t>RAG SUMMARY (select A29:B32 → Insert &gt; Chart &gt; Pie)</t>
        </is>
      </c>
      <c r="B29" s="2" t="n"/>
      <c r="C29" s="2" t="n"/>
      <c r="D29" s="11" t="inlineStr">
        <is>
          <t>PERFORMANCE TREND (select D29:E29+ → Insert &gt; Chart &gt; Line)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11" t="inlineStr">
        <is>
          <t>RAG</t>
        </is>
      </c>
      <c r="B30" s="11" t="inlineStr">
        <is>
          <t>Count</t>
        </is>
      </c>
      <c r="C30" s="2" t="n"/>
      <c r="D30" s="11" t="inlineStr">
        <is>
          <t>BusinessDate</t>
        </is>
      </c>
      <c r="E30" s="11" t="inlineStr">
        <is>
          <t>DailyPerformancePct</t>
        </is>
      </c>
      <c r="F30" s="11" t="inlineStr">
        <is>
          <t>TotalShipped</t>
        </is>
      </c>
      <c r="G30" s="11" t="inlineStr">
        <is>
          <t>TotalExpected</t>
        </is>
      </c>
      <c r="H30" s="2" t="n"/>
      <c r="I30" s="2" t="n"/>
      <c r="J30" s="2" t="n"/>
      <c r="K30" s="2" t="n"/>
      <c r="L30" s="2" t="n"/>
      <c r="M30" s="2" t="n"/>
      <c r="N30" s="2" t="n"/>
    </row>
    <row r="31">
      <c r="A31" s="12" t="inlineStr">
        <is>
          <t>Green</t>
        </is>
      </c>
      <c r="B31" s="12">
        <f>COUNTIF(tblDispatchKPI[RAG],"Green")</f>
        <v/>
      </c>
      <c r="C31" s="2" t="n"/>
      <c r="D31" s="13">
        <f>IF(ROWS(tblDispatchDaily[BusinessDate])&gt;0,INDEX(tblDispatchDaily[BusinessDate],1),"")</f>
        <v/>
      </c>
      <c r="E31" s="14">
        <f>IF(ROWS(tblDispatchDaily[DailyPerformancePct])&gt;0,INDEX(tblDispatchDaily[DailyPerformancePct],1),0)</f>
        <v/>
      </c>
      <c r="F31" s="15">
        <f>IF(ROWS(tblDispatchDaily[TotalShipped])&gt;0,INDEX(tblDispatchDaily[TotalShipped],1),0)</f>
        <v/>
      </c>
      <c r="G31" s="15">
        <f>IF(ROWS(tblDispatchDaily[TotalExpected])&gt;0,INDEX(tblDispatchDaily[TotalExpected],1),0)</f>
        <v/>
      </c>
      <c r="H31" s="2" t="n"/>
      <c r="I31" s="2" t="n"/>
      <c r="J31" s="2" t="n"/>
      <c r="K31" s="2" t="n"/>
      <c r="L31" s="2" t="n"/>
      <c r="M31" s="2" t="n"/>
      <c r="N31" s="2" t="n"/>
    </row>
    <row r="32">
      <c r="A32" s="16" t="inlineStr">
        <is>
          <t>Amber</t>
        </is>
      </c>
      <c r="B32" s="16">
        <f>COUNTIF(tblDispatchKPI[RAG],"Amber")</f>
        <v/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17" t="inlineStr">
        <is>
          <t>Red</t>
        </is>
      </c>
      <c r="B33" s="17">
        <f>COUNTIF(tblDispatchKPI[RAG],"Red")</f>
        <v/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</sheetData>
  <mergeCells count="19">
    <mergeCell ref="B8:D8"/>
    <mergeCell ref="J9:L11"/>
    <mergeCell ref="F8:H8"/>
    <mergeCell ref="B13:D13"/>
    <mergeCell ref="B9:D11"/>
    <mergeCell ref="A1:N1"/>
    <mergeCell ref="B14:D16"/>
    <mergeCell ref="F13:H13"/>
    <mergeCell ref="J4:L6"/>
    <mergeCell ref="J3:L3"/>
    <mergeCell ref="F14:H16"/>
    <mergeCell ref="F9:H11"/>
    <mergeCell ref="B4:D6"/>
    <mergeCell ref="J8:L8"/>
    <mergeCell ref="B3:D3"/>
    <mergeCell ref="J14:L16"/>
    <mergeCell ref="F4:H6"/>
    <mergeCell ref="J13:L13"/>
    <mergeCell ref="F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  <col width="13" bestFit="1" customWidth="1" min="4" max="4"/>
    <col width="13" bestFit="1" customWidth="1" min="5" max="5"/>
  </cols>
  <sheetData>
    <row r="1">
      <c r="A1" s="18" t="inlineStr">
        <is>
          <t>CONFIG - DO NOT DELETE OR RENAME THIS SHEET</t>
        </is>
      </c>
    </row>
    <row r="2"/>
    <row r="3">
      <c r="A3" s="19" t="inlineStr">
        <is>
          <t>SHIFTS</t>
        </is>
      </c>
      <c r="E3" s="19" t="inlineStr">
        <is>
          <t>AREA LIST</t>
        </is>
      </c>
    </row>
    <row r="4">
      <c r="A4" s="20" t="inlineStr">
        <is>
          <t>ShiftName</t>
        </is>
      </c>
      <c r="B4" s="20" t="inlineStr">
        <is>
          <t>StartTime</t>
        </is>
      </c>
      <c r="C4" s="20" t="inlineStr">
        <is>
          <t>EndTime</t>
        </is>
      </c>
      <c r="D4" s="20" t="inlineStr">
        <is>
          <t>DaysPerWeek</t>
        </is>
      </c>
      <c r="E4" s="20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19" t="inlineStr">
        <is>
          <t>KPI RULES</t>
        </is>
      </c>
    </row>
    <row r="10">
      <c r="A10" s="20" t="inlineStr">
        <is>
          <t>RuleName</t>
        </is>
      </c>
      <c r="B10" s="20" t="inlineStr">
        <is>
          <t>Value</t>
        </is>
      </c>
      <c r="C10" s="20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20" t="inlineStr">
        <is>
          <t>LPN</t>
        </is>
      </c>
      <c r="B1" s="20" t="inlineStr">
        <is>
          <t>PALLET</t>
        </is>
      </c>
      <c r="C1" s="20" t="inlineStr">
        <is>
          <t>STORE</t>
        </is>
      </c>
      <c r="D1" s="20" t="inlineStr">
        <is>
          <t>DIVISION</t>
        </is>
      </c>
      <c r="E1" s="20" t="inlineStr">
        <is>
          <t>FACILITY_NAME</t>
        </is>
      </c>
      <c r="F1" s="20" t="inlineStr">
        <is>
          <t>STORE_STATUS</t>
        </is>
      </c>
      <c r="G1" s="20" t="inlineStr">
        <is>
          <t>PICK_LOC</t>
        </is>
      </c>
      <c r="H1" s="20" t="inlineStr">
        <is>
          <t>UNITS</t>
        </is>
      </c>
      <c r="I1" s="20" t="inlineStr">
        <is>
          <t>LAST_UPDATE</t>
        </is>
      </c>
      <c r="J1" s="20" t="inlineStr">
        <is>
          <t>DAYS_SINCE_CLOSE</t>
        </is>
      </c>
      <c r="K1" s="20" t="inlineStr">
        <is>
          <t>LOCKS</t>
        </is>
      </c>
      <c r="L1" s="20" t="inlineStr">
        <is>
          <t>TOT_COST</t>
        </is>
      </c>
      <c r="M1" s="20" t="inlineStr">
        <is>
          <t>TOT_RETAIL</t>
        </is>
      </c>
      <c r="N1" s="20" t="inlineStr">
        <is>
          <t>LAST_PACKED</t>
        </is>
      </c>
      <c r="O1" s="20" t="inlineStr">
        <is>
          <t>AgeDays</t>
        </is>
      </c>
      <c r="P1" s="20" t="inlineStr">
        <is>
          <t>IsShipped</t>
        </is>
      </c>
      <c r="Q1" s="20" t="inlineStr">
        <is>
          <t>PackedStatus</t>
        </is>
      </c>
      <c r="R1" s="20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21" t="n">
        <v>46137.35972466757</v>
      </c>
      <c r="J2" t="n">
        <v>1</v>
      </c>
      <c r="K2" t="n">
        <v>0</v>
      </c>
      <c r="L2" t="n">
        <v>100</v>
      </c>
      <c r="M2" t="n">
        <v>150</v>
      </c>
      <c r="N2" s="21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0" text="Overdue"/>
    <cfRule type="containsText" priority="2" operator="containsText" dxfId="1" text="Shipped"/>
    <cfRule type="containsText" priority="3" operator="containsText" dxfId="2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20" t="inlineStr">
        <is>
          <t>CATEGORY</t>
        </is>
      </c>
      <c r="B1" s="20" t="inlineStr">
        <is>
          <t>DAYS_SINCE_AVAILABLE_FOR_CITY</t>
        </is>
      </c>
      <c r="C1" s="20" t="inlineStr">
        <is>
          <t>DATE_SCANNED_TO_CITY</t>
        </is>
      </c>
      <c r="D1" s="20" t="inlineStr">
        <is>
          <t>OLPN</t>
        </is>
      </c>
      <c r="E1" s="20" t="inlineStr">
        <is>
          <t>XREF_OLPN</t>
        </is>
      </c>
      <c r="F1" s="20" t="inlineStr">
        <is>
          <t>STORE_NUMBER</t>
        </is>
      </c>
      <c r="G1" s="20" t="inlineStr">
        <is>
          <t>STORE_NAME</t>
        </is>
      </c>
      <c r="H1" s="20" t="inlineStr">
        <is>
          <t>CARTON_LOCKS</t>
        </is>
      </c>
      <c r="I1" s="20" t="inlineStr">
        <is>
          <t>LPN_STATUS</t>
        </is>
      </c>
      <c r="J1" s="20" t="inlineStr">
        <is>
          <t>STORE_ACK_STATUS</t>
        </is>
      </c>
      <c r="K1" s="20" t="inlineStr">
        <is>
          <t>UNITS</t>
        </is>
      </c>
      <c r="L1" s="20" t="inlineStr">
        <is>
          <t>COST_VALUE</t>
        </is>
      </c>
      <c r="M1" s="20" t="inlineStr">
        <is>
          <t>RETAIL_VALUE</t>
        </is>
      </c>
      <c r="N1" s="20" t="inlineStr">
        <is>
          <t>CartonID</t>
        </is>
      </c>
      <c r="O1" s="20" t="inlineStr">
        <is>
          <t>IsAcknowledged</t>
        </is>
      </c>
      <c r="P1" s="20" t="inlineStr">
        <is>
          <t>IncludeInHRP</t>
        </is>
      </c>
      <c r="Q1" s="20" t="inlineStr">
        <is>
          <t>AgeBucket</t>
        </is>
      </c>
    </row>
    <row r="2">
      <c r="A2" t="inlineStr">
        <is>
          <t>HRP</t>
        </is>
      </c>
      <c r="B2" t="n">
        <v>0</v>
      </c>
      <c r="C2" s="21" t="n">
        <v>46137.35972469355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0">
      <formula>"TRUE"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20" t="inlineStr">
        <is>
          <t>BusinessDate</t>
        </is>
      </c>
      <c r="B1" s="20" t="inlineStr">
        <is>
          <t>ShiftName</t>
        </is>
      </c>
      <c r="C1" s="20" t="inlineStr">
        <is>
          <t>LPN</t>
        </is>
      </c>
      <c r="D1" s="20" t="inlineStr">
        <is>
          <t>EnteredBy</t>
        </is>
      </c>
      <c r="E1" s="20" t="inlineStr">
        <is>
          <t>Notes</t>
        </is>
      </c>
      <c r="F1" s="20" t="inlineStr">
        <is>
          <t>DupFlag</t>
        </is>
      </c>
    </row>
    <row r="2">
      <c r="A2" s="22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2">
      <formula>"TRUE"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20" t="inlineStr">
        <is>
          <t>BusinessDate</t>
        </is>
      </c>
      <c r="B1" s="20" t="inlineStr">
        <is>
          <t>ShiftName</t>
        </is>
      </c>
      <c r="C1" s="20" t="inlineStr">
        <is>
          <t>Area</t>
        </is>
      </c>
      <c r="D1" s="20" t="inlineStr">
        <is>
          <t>StaffAvailable</t>
        </is>
      </c>
    </row>
    <row r="2">
      <c r="A2" s="22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20" t="inlineStr">
        <is>
          <t>BusinessDate</t>
        </is>
      </c>
      <c r="B1" s="20" t="inlineStr">
        <is>
          <t>ShiftName</t>
        </is>
      </c>
      <c r="C1" s="20" t="inlineStr">
        <is>
          <t>TargetPerPersonPerShift</t>
        </is>
      </c>
    </row>
    <row r="2">
      <c r="A2" s="22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2" customWidth="1" min="4" max="4"/>
    <col width="11" customWidth="1" min="5" max="5"/>
    <col width="29" customWidth="1" min="6" max="6"/>
    <col width="40" customWidth="1" min="7" max="7"/>
    <col width="10" customWidth="1" min="8" max="8"/>
  </cols>
  <sheetData>
    <row r="1">
      <c r="A1" s="20" t="inlineStr">
        <is>
          <t>BusinessDate</t>
        </is>
      </c>
      <c r="B1" s="20" t="inlineStr">
        <is>
          <t>ShiftName</t>
        </is>
      </c>
      <c r="C1" s="20" t="inlineStr">
        <is>
          <t>AuditorName</t>
        </is>
      </c>
      <c r="D1" s="20" t="inlineStr">
        <is>
          <t>AuditCount</t>
        </is>
      </c>
      <c r="E1" s="20" t="inlineStr">
        <is>
          <t>PassCount</t>
        </is>
      </c>
      <c r="F1" s="20" t="inlineStr">
        <is>
          <t>FailCount</t>
        </is>
      </c>
      <c r="G1" s="20" t="inlineStr">
        <is>
          <t>PassRate</t>
        </is>
      </c>
      <c r="H1" s="20" t="inlineStr">
        <is>
          <t>Notes</t>
        </is>
      </c>
    </row>
    <row r="2">
      <c r="A2" s="22" t="n">
        <v>46137</v>
      </c>
      <c r="B2" t="inlineStr">
        <is>
          <t>Day</t>
        </is>
      </c>
      <c r="C2" t="inlineStr">
        <is>
          <t>Auditor1</t>
        </is>
      </c>
      <c r="D2" t="n">
        <v>20</v>
      </c>
      <c r="E2" t="n">
        <v>18</v>
      </c>
      <c r="F2">
        <f>[@AuditCount]-[@PassCount]</f>
        <v/>
      </c>
      <c r="G2" s="23">
        <f>IFERROR([@PassCount]/[@AuditCount],0)</f>
        <v/>
      </c>
      <c r="H2" t="inlineStr"/>
    </row>
  </sheetData>
  <conditionalFormatting sqref="G2:G10000">
    <cfRule type="colorScale" priority="1">
      <colorScale>
        <cfvo type="num" val="0"/>
        <cfvo type="num" val="0.8"/>
        <cfvo type="num" val="1"/>
        <color rgb="FFFF0000"/>
        <color rgb="FFFFA500"/>
        <color rgb="FF50C878"/>
      </colorScale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20" t="inlineStr">
        <is>
          <t>BusinessDate</t>
        </is>
      </c>
      <c r="B1" s="20" t="inlineStr">
        <is>
          <t>ShiftName</t>
        </is>
      </c>
      <c r="C1" s="20" t="inlineStr">
        <is>
          <t>ShippedCartons</t>
        </is>
      </c>
      <c r="D1" s="20" t="inlineStr">
        <is>
          <t>TotalStaff</t>
        </is>
      </c>
      <c r="E1" s="20" t="inlineStr">
        <is>
          <t>TargetPerPerson</t>
        </is>
      </c>
      <c r="F1" s="20" t="inlineStr">
        <is>
          <t>ExpectedCartons</t>
        </is>
      </c>
      <c r="G1" s="20" t="inlineStr">
        <is>
          <t>PerformancePct</t>
        </is>
      </c>
      <c r="H1" s="20" t="inlineStr">
        <is>
          <t>RAG</t>
        </is>
      </c>
      <c r="I1" s="20" t="inlineStr">
        <is>
          <t>AuditCount</t>
        </is>
      </c>
      <c r="J1" s="20" t="inlineStr">
        <is>
          <t>AuditTarget</t>
        </is>
      </c>
      <c r="K1" s="20" t="inlineStr">
        <is>
          <t>AuditPct</t>
        </is>
      </c>
      <c r="L1" s="20" t="inlineStr">
        <is>
          <t>WeekNumber</t>
        </is>
      </c>
      <c r="M1" s="20" t="inlineStr">
        <is>
          <t>Month</t>
        </is>
      </c>
    </row>
    <row r="2">
      <c r="A2" s="22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23">
        <f>IFERROR([@ShippedCartons]/[@ExpectedCartons],0)</f>
        <v/>
      </c>
      <c r="H2">
        <f>IF([@PerformancePct]&gt;=1,"Green",IF([@PerformancePct]&gt;=0.9,"Amber","Red"))</f>
        <v/>
      </c>
      <c r="I2">
        <f>SUMIFS(tblAudits[AuditCount],tblAudits[BusinessDate],[@BusinessDate],tblAudits[ShiftName],[@ShiftName])</f>
        <v/>
      </c>
      <c r="J2">
        <f>IFERROR(INDEX(tblConfig_Rules[Value],MATCH("Audit_SampleSize",tblConfig_Rules[RuleName],0)),20)</f>
        <v/>
      </c>
      <c r="K2" s="23">
        <f>IFERROR([@AuditCount]/[@AuditTarget],0)</f>
        <v/>
      </c>
      <c r="L2">
        <f>IFERROR(WEEKNUM([@BusinessDate],2),"")</f>
        <v/>
      </c>
      <c r="M2">
        <f>IFERROR(TEXT([@BusinessDate],"mmm-yy"),"")</f>
        <v/>
      </c>
    </row>
  </sheetData>
  <conditionalFormatting sqref="H2:H10000">
    <cfRule type="containsText" priority="1" operator="containsText" dxfId="1" text="Green"/>
    <cfRule type="containsText" priority="2" operator="containsText" dxfId="2" text="Amber"/>
    <cfRule type="containsText" priority="3" operator="containsText" dxfId="3" text="Red"/>
  </conditionalFormatting>
  <conditionalFormatting sqref="K2:K10000">
    <cfRule type="colorScale" priority="4">
      <colorScale>
        <cfvo type="num" val="0"/>
        <cfvo type="num" val="0.5"/>
        <cfvo type="num" val="1"/>
        <color rgb="FFFF0000"/>
        <color rgb="FFFFA500"/>
        <color rgb="FF50C878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</cols>
  <sheetData>
    <row r="1">
      <c r="A1" s="20" t="inlineStr">
        <is>
          <t>BusinessDate</t>
        </is>
      </c>
      <c r="B1" s="20" t="inlineStr">
        <is>
          <t>TotalShipped</t>
        </is>
      </c>
      <c r="C1" s="20" t="inlineStr">
        <is>
          <t>TotalStaff</t>
        </is>
      </c>
      <c r="D1" s="20" t="inlineStr">
        <is>
          <t>TotalExpected</t>
        </is>
      </c>
      <c r="E1" s="20" t="inlineStr">
        <is>
          <t>DailyPerformancePct</t>
        </is>
      </c>
      <c r="F1" s="20" t="inlineStr">
        <is>
          <t>WeekNumber</t>
        </is>
      </c>
    </row>
    <row r="2">
      <c r="A2" s="22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23">
        <f>IFERROR([@TotalShipped]/[@TotalExpected],0)</f>
        <v/>
      </c>
      <c r="F2">
        <f>IFERROR(WEEKNUM([@BusinessDate],2),"")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24" t="inlineStr">
        <is>
          <t>CATEGORY</t>
        </is>
      </c>
      <c r="B1" s="24" t="inlineStr">
        <is>
          <t>CartonID</t>
        </is>
      </c>
      <c r="C1" s="24" t="inlineStr">
        <is>
          <t>STORE_NUMBER</t>
        </is>
      </c>
      <c r="D1" s="24" t="inlineStr">
        <is>
          <t>STORE_NAME</t>
        </is>
      </c>
      <c r="E1" s="24" t="inlineStr">
        <is>
          <t>DAYS_SINCE_AVAILABLE_FOR_CITY</t>
        </is>
      </c>
      <c r="F1" s="24" t="inlineStr">
        <is>
          <t>STORE_ACK_STATUS</t>
        </is>
      </c>
      <c r="G1" s="24" t="inlineStr">
        <is>
          <t>UNITS</t>
        </is>
      </c>
      <c r="H1" s="24" t="inlineStr">
        <is>
          <t>COST_VALUE</t>
        </is>
      </c>
      <c r="I1" s="24" t="inlineStr">
        <is>
          <t>Owner</t>
        </is>
      </c>
      <c r="J1" s="24" t="inlineStr">
        <is>
          <t>ContactedCity</t>
        </is>
      </c>
      <c r="K1" s="24" t="inlineStr">
        <is>
          <t>ContactTime</t>
        </is>
      </c>
      <c r="L1" s="24" t="inlineStr">
        <is>
          <t>NextStep</t>
        </is>
      </c>
    </row>
    <row r="2">
      <c r="A2" s="25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24" t="inlineStr">
        <is>
          <t>LPN</t>
        </is>
      </c>
      <c r="B1" s="24" t="inlineStr">
        <is>
          <t>STORE</t>
        </is>
      </c>
      <c r="C1" s="24" t="inlineStr">
        <is>
          <t>DIVISION</t>
        </is>
      </c>
      <c r="D1" s="24" t="inlineStr">
        <is>
          <t>AgeDays</t>
        </is>
      </c>
      <c r="E1" s="24" t="inlineStr">
        <is>
          <t>PackedStatus</t>
        </is>
      </c>
      <c r="F1" s="24" t="inlineStr">
        <is>
          <t>UNITS</t>
        </is>
      </c>
      <c r="G1" s="24" t="inlineStr">
        <is>
          <t>HoldReason</t>
        </is>
      </c>
      <c r="H1" s="24" t="inlineStr">
        <is>
          <t>Owner</t>
        </is>
      </c>
      <c r="I1" s="24" t="inlineStr">
        <is>
          <t>PlannedShipTime</t>
        </is>
      </c>
    </row>
    <row r="2">
      <c r="A2" s="25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0" text="Overdue"/>
    <cfRule type="containsText" priority="2" operator="containsText" dxfId="2" text="Pending"/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  <col width="12" customWidth="1" min="11" max="11"/>
    <col width="12" customWidth="1" min="12" max="12"/>
    <col width="16" customWidth="1" min="13" max="13"/>
    <col width="27" customWidth="1" min="14" max="14"/>
  </cols>
  <sheetData>
    <row r="1">
      <c r="A1" s="20" t="inlineStr">
        <is>
          <t>SnapshotTimestamp</t>
        </is>
      </c>
      <c r="B1" s="20" t="inlineStr">
        <is>
          <t>BusinessDate</t>
        </is>
      </c>
      <c r="C1" s="20" t="inlineStr">
        <is>
          <t>ShiftName</t>
        </is>
      </c>
      <c r="D1" s="20" t="inlineStr">
        <is>
          <t>ShippedCartons</t>
        </is>
      </c>
      <c r="E1" s="20" t="inlineStr">
        <is>
          <t>TotalStaff</t>
        </is>
      </c>
      <c r="F1" s="20" t="inlineStr">
        <is>
          <t>ExpectedCartons</t>
        </is>
      </c>
      <c r="G1" s="20" t="inlineStr">
        <is>
          <t>PerformancePct</t>
        </is>
      </c>
      <c r="H1" s="20" t="inlineStr">
        <is>
          <t>RAG</t>
        </is>
      </c>
      <c r="I1" s="20" t="inlineStr">
        <is>
          <t>HRP_OpenCount</t>
        </is>
      </c>
      <c r="J1" s="20" t="inlineStr">
        <is>
          <t>Packed_OverdueCount</t>
        </is>
      </c>
      <c r="K1" s="20" t="inlineStr">
        <is>
          <t>WeekNumber</t>
        </is>
      </c>
      <c r="L1" s="20" t="inlineStr">
        <is>
          <t>AuditCount</t>
        </is>
      </c>
      <c r="M1" s="20" t="inlineStr">
        <is>
          <t>HRP_CostAtRisk</t>
        </is>
      </c>
      <c r="N1" s="20" t="inlineStr">
        <is>
          <t>Packed_OverdueRetailValue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070C0"/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>
      <c r="A1" s="26" t="inlineStr">
        <is>
          <t>WEEKLY SUMMARY — aggregated from T_DISPATCH_DAILY</t>
        </is>
      </c>
    </row>
    <row r="2">
      <c r="A2" s="25" t="inlineStr">
        <is>
          <t>Seed one row per week. Formulas aggregate T_DISPATCH_DAILY by WeekNumber + Year. Add rows for each new week.</t>
        </is>
      </c>
    </row>
    <row r="3">
      <c r="A3" s="20" t="inlineStr">
        <is>
          <t>WeekNumber</t>
        </is>
      </c>
      <c r="B3" s="20" t="inlineStr">
        <is>
          <t>WeekYear</t>
        </is>
      </c>
      <c r="C3" s="20" t="inlineStr">
        <is>
          <t>WeekStartDate</t>
        </is>
      </c>
      <c r="D3" s="20" t="inlineStr">
        <is>
          <t>TotalShipped</t>
        </is>
      </c>
      <c r="E3" s="20" t="inlineStr">
        <is>
          <t>TotalExpected</t>
        </is>
      </c>
      <c r="F3" s="20" t="inlineStr">
        <is>
          <t>WeeklyPerformancePct</t>
        </is>
      </c>
      <c r="G3" s="20" t="inlineStr">
        <is>
          <t>TotalStaff</t>
        </is>
      </c>
      <c r="H3" s="20" t="inlineStr">
        <is>
          <t>DaysWithData</t>
        </is>
      </c>
    </row>
    <row r="4">
      <c r="A4" t="n">
        <v>17</v>
      </c>
      <c r="B4" t="n">
        <v>2026</v>
      </c>
      <c r="C4" s="22" t="n">
        <v>46132</v>
      </c>
      <c r="D4">
        <f>SUMPRODUCT((WEEKNUM(tblDispatchDaily[BusinessDate],2)=A4)*(YEAR(tblDispatchDaily[BusinessDate])=B4),tblDispatchDaily[TotalShipped])</f>
        <v/>
      </c>
      <c r="E4">
        <f>SUMPRODUCT((WEEKNUM(tblDispatchDaily[BusinessDate],2)=A4)*(YEAR(tblDispatchDaily[BusinessDate])=B4),tblDispatchDaily[TotalExpected])</f>
        <v/>
      </c>
      <c r="F4" s="23">
        <f>IFERROR([@TotalShipped]/[@TotalExpected],0)</f>
        <v/>
      </c>
      <c r="G4">
        <f>SUMPRODUCT((WEEKNUM(tblDispatchDaily[BusinessDate],2)=A4)*(YEAR(tblDispatchDaily[BusinessDate])=B4),tblDispatchDaily[TotalStaff])</f>
        <v/>
      </c>
      <c r="H4">
        <f>SUMPRODUCT((WEEKNUM(tblDispatchDaily[BusinessDate],2)=A4)*(YEAR(tblDispatchDaily[BusinessDate])=B4),(tblDispatchDaily[TotalShipped]&gt;0)*1)</f>
        <v/>
      </c>
    </row>
  </sheetData>
  <conditionalFormatting sqref="F4:F10000">
    <cfRule type="colorScale" priority="1">
      <colorScale>
        <cfvo type="num" val="0"/>
        <cfvo type="num" val="0.9"/>
        <cfvo type="num" val="1"/>
        <color rgb="FFFF0000"/>
        <color rgb="FFFFA500"/>
        <color rgb="FF50C878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27" t="inlineStr">
        <is>
          <t>DATA QUALITY CHECKS</t>
        </is>
      </c>
    </row>
    <row r="2"/>
    <row r="3">
      <c r="A3" s="20" t="inlineStr">
        <is>
          <t>Check</t>
        </is>
      </c>
      <c r="B3" s="20" t="inlineStr">
        <is>
          <t>Formula / Logic</t>
        </is>
      </c>
      <c r="C3" s="20" t="inlineStr">
        <is>
          <t>Result</t>
        </is>
      </c>
      <c r="D3" s="20" t="inlineStr">
        <is>
          <t>Status</t>
        </is>
      </c>
    </row>
    <row r="4">
      <c r="A4" s="28" t="inlineStr">
        <is>
          <t>Missing CartonID in HRP</t>
        </is>
      </c>
      <c r="B4" s="28" t="inlineStr">
        <is>
          <t>'=COUNTIFS(tblHRP[CartonID],"")</t>
        </is>
      </c>
      <c r="C4" s="28">
        <f>COUNTIFS(tblHRP[CartonID],"")</f>
        <v/>
      </c>
      <c r="D4" s="28">
        <f>IF(C4=0,"OK","WARNING")</f>
        <v/>
      </c>
    </row>
    <row r="5">
      <c r="A5" s="28" t="inlineStr">
        <is>
          <t>Future dates in IN_PACKED (LAST_PACKED)</t>
        </is>
      </c>
      <c r="B5" s="28" t="inlineStr">
        <is>
          <t>'=COUNTIF(tblPacked[LAST_PACKED],"&gt;"&amp;TODAY())</t>
        </is>
      </c>
      <c r="C5" s="28">
        <f>COUNTIF(tblPacked[LAST_PACKED],"&gt;"&amp;TODAY())</f>
        <v/>
      </c>
      <c r="D5" s="28">
        <f>IF(C5=0,"OK","WARNING")</f>
        <v/>
      </c>
    </row>
    <row r="6">
      <c r="A6" s="28" t="inlineStr">
        <is>
          <t>Future dates in IN_SHIPPED_LPNS (BusinessDate)</t>
        </is>
      </c>
      <c r="B6" s="28" t="inlineStr">
        <is>
          <t>'=COUNTIF(tblShipped[BusinessDate],"&gt;"&amp;TODAY())</t>
        </is>
      </c>
      <c r="C6" s="28">
        <f>COUNTIF(tblShipped[BusinessDate],"&gt;"&amp;TODAY())</f>
        <v/>
      </c>
      <c r="D6" s="28">
        <f>IF(C6=0,"OK","WARNING")</f>
        <v/>
      </c>
    </row>
    <row r="7">
      <c r="A7" s="28" t="inlineStr">
        <is>
          <t>Duplicate LPNs in Shipped list</t>
        </is>
      </c>
      <c r="B7" s="28" t="inlineStr">
        <is>
          <t>'=COUNTIF(tblShipped[DupFlag],TRUE)</t>
        </is>
      </c>
      <c r="C7" s="28">
        <f>COUNTIF(tblShipped[DupFlag],TRUE)</f>
        <v/>
      </c>
      <c r="D7" s="28">
        <f>IF(C7=0,"OK","WARNING")</f>
        <v/>
      </c>
    </row>
    <row r="8">
      <c r="A8" s="28" t="inlineStr">
        <is>
          <t>StaffAvailable = 0 rows in Staffing</t>
        </is>
      </c>
      <c r="B8" s="28" t="inlineStr">
        <is>
          <t>'=COUNTIF(tblStaffing[StaffAvailable],0)</t>
        </is>
      </c>
      <c r="C8" s="28">
        <f>COUNTIF(tblStaffing[StaffAvailable],0)</f>
        <v/>
      </c>
      <c r="D8" s="28">
        <f>IF(C8=0,"OK","WARNING")</f>
        <v/>
      </c>
    </row>
    <row r="9">
      <c r="A9" s="28" t="inlineStr">
        <is>
          <t>Invalid ShiftName in Shipped (not Day/Night)</t>
        </is>
      </c>
      <c r="B9" s="28" t="inlineStr">
        <is>
          <t>'=SUMPRODUCT((tblShipped[ShiftName]&lt;&gt;"Day")*(tblShipped[ShiftName]&lt;&gt;"Night")*(tblShipped[ShiftName]&lt;&gt;""))</t>
        </is>
      </c>
      <c r="C9" s="28">
        <f>SUMPRODUCT((tblShipped[ShiftName]&lt;&gt;"Day")*(tblShipped[ShiftName]&lt;&gt;"Night")*(tblShipped[ShiftName]&lt;&gt;""))</f>
        <v/>
      </c>
      <c r="D9" s="28">
        <f>IF(C9=0,"OK","WARNING")</f>
        <v/>
      </c>
    </row>
    <row r="10">
      <c r="A10" s="28" t="inlineStr">
        <is>
          <t>Invalid ShiftName in Staffing</t>
        </is>
      </c>
      <c r="B10" s="28" t="inlineStr">
        <is>
          <t>'=SUMPRODUCT((tblStaffing[ShiftName]&lt;&gt;"Day")*(tblStaffing[ShiftName]&lt;&gt;"Night")*(tblStaffing[ShiftName]&lt;&gt;""))</t>
        </is>
      </c>
      <c r="C10" s="28">
        <f>SUMPRODUCT((tblStaffing[ShiftName]&lt;&gt;"Day")*(tblStaffing[ShiftName]&lt;&gt;"Night")*(tblStaffing[ShiftName]&lt;&gt;""))</f>
        <v/>
      </c>
      <c r="D10" s="28">
        <f>IF(C10=0,"OK","WARNING")</f>
        <v/>
      </c>
    </row>
    <row r="11">
      <c r="A11" s="28" t="inlineStr">
        <is>
          <t>HRP rows with IncludeInHRP=TRUE (open action items)</t>
        </is>
      </c>
      <c r="B11" s="28" t="inlineStr">
        <is>
          <t>'=COUNTIF(tblHRP[IncludeInHRP],TRUE)</t>
        </is>
      </c>
      <c r="C11" s="28">
        <f>COUNTIF(tblHRP[IncludeInHRP],TRUE)</f>
        <v/>
      </c>
      <c r="D11" s="28">
        <f>IF(C11=0,"OK","WARNING")</f>
        <v/>
      </c>
    </row>
    <row r="12">
      <c r="A12" s="28" t="inlineStr">
        <is>
          <t>Packed items where ActionFlag=TRUE (overdue)</t>
        </is>
      </c>
      <c r="B12" s="28" t="inlineStr">
        <is>
          <t>'=COUNTIF(tblPacked[ActionFlag],TRUE)</t>
        </is>
      </c>
      <c r="C12" s="28">
        <f>COUNTIF(tblPacked[ActionFlag],TRUE)</f>
        <v/>
      </c>
      <c r="D12" s="28">
        <f>IF(C12=0,"OK","WARNING")</f>
        <v/>
      </c>
    </row>
    <row r="13">
      <c r="A13" s="28" t="inlineStr">
        <is>
          <t>ExpectedCartons = 0 in KPI (missing targets or staffing)</t>
        </is>
      </c>
      <c r="B13" s="28" t="inlineStr">
        <is>
          <t>'=COUNTIF(tblDispatchKPI[ExpectedCartons],0)</t>
        </is>
      </c>
      <c r="C13" s="28">
        <f>COUNTIF(tblDispatchKPI[ExpectedCartons],0)</f>
        <v/>
      </c>
      <c r="D13" s="28">
        <f>IF(C13=0,"OK","WARNING")</f>
        <v/>
      </c>
    </row>
    <row r="14">
      <c r="A14" s="28" t="inlineStr">
        <is>
          <t>PerformancePct &gt; 120% (possible data entry error)</t>
        </is>
      </c>
      <c r="B14" s="28" t="inlineStr">
        <is>
          <t>'=COUNTIF(tblDispatchKPI[PerformancePct],"&gt;"&amp;1.2)</t>
        </is>
      </c>
      <c r="C14" s="28">
        <f>COUNTIF(tblDispatchKPI[PerformancePct],"&gt;"&amp;1.2)</f>
        <v/>
      </c>
      <c r="D14" s="28">
        <f>IF(C14=0,"OK","WARNING")</f>
        <v/>
      </c>
    </row>
    <row r="15">
      <c r="A15" s="28" t="inlineStr">
        <is>
          <t>No audit record for today (audit gap)</t>
        </is>
      </c>
      <c r="B15" s="28" t="inlineStr">
        <is>
          <t>'=IF(COUNTIF(tblAudits[BusinessDate],TODAY())=0,1,0)</t>
        </is>
      </c>
      <c r="C15" s="28">
        <f>IF(COUNTIF(tblAudits[BusinessDate],TODAY())=0,1,0)</f>
        <v/>
      </c>
      <c r="D15" s="28">
        <f>IF(C15=0,"OK","WARNING")</f>
        <v/>
      </c>
    </row>
    <row r="16">
      <c r="A16" s="28" t="inlineStr">
        <is>
          <t>Audit PassRate below 90% today</t>
        </is>
      </c>
      <c r="B16" s="28" t="inlineStr">
        <is>
          <t>'=COUNTIFS(tblAudits[BusinessDate],TODAY(),tblAudits[PassRate],"&lt;"&amp;0.9)</t>
        </is>
      </c>
      <c r="C16" s="28">
        <f>COUNTIFS(tblAudits[BusinessDate],TODAY(),tblAudits[PassRate],"&lt;"&amp;0.9)</f>
        <v/>
      </c>
      <c r="D16" s="28">
        <f>IF(C16=0,"OK","WARNING")</f>
        <v/>
      </c>
    </row>
    <row r="17">
      <c r="A17" s="28" t="inlineStr">
        <is>
          <t>Missing targets for today in IN_TARGETS_DAILY</t>
        </is>
      </c>
      <c r="B17" s="28" t="inlineStr">
        <is>
          <t>'=IF(COUNTIF(tblTargetsDaily[BusinessDate],TODAY())=0,1,0)</t>
        </is>
      </c>
      <c r="C17" s="28">
        <f>IF(COUNTIF(tblTargetsDaily[BusinessDate],TODAY())=0,1,0)</f>
        <v/>
      </c>
      <c r="D17" s="28">
        <f>IF(C17=0,"OK","WARNING")</f>
        <v/>
      </c>
    </row>
  </sheetData>
  <conditionalFormatting sqref="D4">
    <cfRule type="containsText" priority="1" operator="containsText" dxfId="4" text="WARNING"/>
    <cfRule type="containsText" priority="2" operator="containsText" dxfId="1" text="OK"/>
  </conditionalFormatting>
  <conditionalFormatting sqref="D5">
    <cfRule type="containsText" priority="3" operator="containsText" dxfId="4" text="WARNING"/>
    <cfRule type="containsText" priority="4" operator="containsText" dxfId="1" text="OK"/>
  </conditionalFormatting>
  <conditionalFormatting sqref="D6">
    <cfRule type="containsText" priority="5" operator="containsText" dxfId="4" text="WARNING"/>
    <cfRule type="containsText" priority="6" operator="containsText" dxfId="1" text="OK"/>
  </conditionalFormatting>
  <conditionalFormatting sqref="D7">
    <cfRule type="containsText" priority="7" operator="containsText" dxfId="4" text="WARNING"/>
    <cfRule type="containsText" priority="8" operator="containsText" dxfId="1" text="OK"/>
  </conditionalFormatting>
  <conditionalFormatting sqref="D8">
    <cfRule type="containsText" priority="9" operator="containsText" dxfId="4" text="WARNING"/>
    <cfRule type="containsText" priority="10" operator="containsText" dxfId="1" text="OK"/>
  </conditionalFormatting>
  <conditionalFormatting sqref="D9">
    <cfRule type="containsText" priority="11" operator="containsText" dxfId="4" text="WARNING"/>
    <cfRule type="containsText" priority="12" operator="containsText" dxfId="1" text="OK"/>
  </conditionalFormatting>
  <conditionalFormatting sqref="D10">
    <cfRule type="containsText" priority="13" operator="containsText" dxfId="4" text="WARNING"/>
    <cfRule type="containsText" priority="14" operator="containsText" dxfId="1" text="OK"/>
  </conditionalFormatting>
  <conditionalFormatting sqref="D11">
    <cfRule type="containsText" priority="15" operator="containsText" dxfId="4" text="WARNING"/>
    <cfRule type="containsText" priority="16" operator="containsText" dxfId="1" text="OK"/>
  </conditionalFormatting>
  <conditionalFormatting sqref="D12">
    <cfRule type="containsText" priority="17" operator="containsText" dxfId="4" text="WARNING"/>
    <cfRule type="containsText" priority="18" operator="containsText" dxfId="1" text="OK"/>
  </conditionalFormatting>
  <conditionalFormatting sqref="D13">
    <cfRule type="containsText" priority="19" operator="containsText" dxfId="4" text="WARNING"/>
    <cfRule type="containsText" priority="20" operator="containsText" dxfId="1" text="OK"/>
  </conditionalFormatting>
  <conditionalFormatting sqref="D14">
    <cfRule type="containsText" priority="21" operator="containsText" dxfId="4" text="WARNING"/>
    <cfRule type="containsText" priority="22" operator="containsText" dxfId="1" text="OK"/>
  </conditionalFormatting>
  <conditionalFormatting sqref="D15">
    <cfRule type="containsText" priority="23" operator="containsText" dxfId="4" text="WARNING"/>
    <cfRule type="containsText" priority="24" operator="containsText" dxfId="1" text="OK"/>
  </conditionalFormatting>
  <conditionalFormatting sqref="D16">
    <cfRule type="containsText" priority="25" operator="containsText" dxfId="4" text="WARNING"/>
    <cfRule type="containsText" priority="26" operator="containsText" dxfId="1" text="OK"/>
  </conditionalFormatting>
  <conditionalFormatting sqref="D17">
    <cfRule type="containsText" priority="27" operator="containsText" dxfId="4" text="WARNING"/>
    <cfRule type="containsText" priority="28" operator="containsText" dxfId="1" text="OK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2026-04-25T08:38:00Z</dcterms:created>
  <dcterms:modified xsi:type="dcterms:W3CDTF">2026-04-25T08:38:00Z</dcterms:modified>
</cp:coreProperties>
</file>