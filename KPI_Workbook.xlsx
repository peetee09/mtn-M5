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visible" r:id="rId2"/>
    <sheet name="IN_PACKED" sheetId="3" state="visible" r:id="rId3"/>
    <sheet name="IN_HRP" sheetId="4" state="visible" r:id="rId4"/>
    <sheet name="IN_SHIPPED_LPNS" sheetId="5" state="visible" r:id="rId5"/>
    <sheet name="IN_STAFFING" sheetId="6" state="visible" r:id="rId6"/>
    <sheet name="IN_TARGETS_DAILY" sheetId="7" state="visible" r:id="rId7"/>
    <sheet name="T_DISPATCH_KPI" sheetId="8" state="visible" r:id="rId8"/>
    <sheet name="T_DISPATCH_DAILY" sheetId="9" state="visible" r:id="rId9"/>
    <sheet name="ACTION_HRP" sheetId="10" state="visible" r:id="rId10"/>
    <sheet name="ACTION_PACKED" sheetId="11" state="visible" r:id="rId11"/>
    <sheet name="HISTORY" sheetId="12" state="visible" r:id="rId12"/>
    <sheet name="DATA_QUA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24">
    <font>
      <name val="Calibri"/>
      <family val="2"/>
      <color theme="1"/>
      <sz val="11"/>
      <scheme val="minor"/>
    </font>
    <font>
      <b val="1"/>
      <color rgb="00FF0000"/>
      <sz val="12"/>
    </font>
    <font>
      <b val="1"/>
    </font>
    <font>
      <b val="1"/>
      <color rgb="FFFFFFFF"/>
      <sz val="11"/>
    </font>
    <font>
      <i val="1"/>
      <color rgb="00808080"/>
    </font>
    <font>
      <b val="1"/>
      <color rgb="00191970"/>
      <sz val="14"/>
    </font>
    <font>
      <color rgb="00333333"/>
    </font>
    <font>
      <b val="1"/>
      <color rgb="00FFFFFF"/>
      <sz val="18"/>
    </font>
    <font>
      <b val="1"/>
      <color rgb="00666666"/>
      <sz val="9"/>
    </font>
    <font>
      <b val="1"/>
      <color rgb="000070C0"/>
      <sz val="9"/>
    </font>
    <font>
      <i val="1"/>
      <color rgb="00666666"/>
      <sz val="9"/>
    </font>
    <font>
      <b val="1"/>
      <color rgb="00FFFFFF"/>
      <sz val="11"/>
    </font>
    <font>
      <b val="1"/>
      <color rgb="00FFFFFF"/>
      <sz val="9"/>
    </font>
    <font>
      <b val="1"/>
      <color rgb="00FF0000"/>
      <sz val="24"/>
    </font>
    <font>
      <b val="1"/>
      <color rgb="000070C0"/>
      <sz val="24"/>
    </font>
    <font>
      <b val="1"/>
      <color rgb="00FFA500"/>
      <sz val="24"/>
    </font>
    <font>
      <b val="1"/>
      <color rgb="0050C878"/>
      <sz val="24"/>
    </font>
    <font>
      <color rgb="00333333"/>
      <sz val="9"/>
    </font>
    <font>
      <i val="1"/>
      <color rgb="00666666"/>
      <sz val="8"/>
    </font>
    <font>
      <b val="1"/>
      <color rgb="FF004EA8"/>
      <sz val="8"/>
      <u val="single"/>
    </font>
    <font>
      <b val="1"/>
      <color rgb="FF006400"/>
      <sz val="8"/>
      <u val="single"/>
    </font>
    <font>
      <b val="1"/>
      <color rgb="FF8B6914"/>
      <sz val="8"/>
      <u val="single"/>
    </font>
    <font>
      <b val="1"/>
      <color rgb="FF595959"/>
      <sz val="8"/>
      <u val="single"/>
    </font>
    <font>
      <b val="1"/>
      <color rgb="00191970"/>
      <sz val="9"/>
    </font>
  </fonts>
  <fills count="16">
    <fill>
      <patternFill/>
    </fill>
    <fill>
      <patternFill patternType="gray125"/>
    </fill>
    <fill>
      <patternFill patternType="solid">
        <fgColor rgb="FF19197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ECF0F7"/>
      </patternFill>
    </fill>
    <fill>
      <patternFill patternType="solid">
        <fgColor rgb="FF2E4057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FFA500"/>
      </patternFill>
    </fill>
    <fill>
      <patternFill patternType="solid">
        <fgColor rgb="FF50C878"/>
      </patternFill>
    </fill>
    <fill>
      <patternFill patternType="solid">
        <fgColor rgb="FFF7F7F7"/>
      </patternFill>
    </fill>
    <fill>
      <patternFill patternType="solid">
        <fgColor rgb="FF4472C4"/>
      </patternFill>
    </fill>
    <fill>
      <patternFill patternType="solid">
        <fgColor rgb="FF595959"/>
      </patternFill>
    </fill>
    <fill>
      <patternFill patternType="solid">
        <fgColor rgb="FFFFF4CC"/>
      </patternFill>
    </fill>
  </fills>
  <borders count="3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0000"/>
      </left>
      <top style="thin">
        <color rgb="00FF0000"/>
      </top>
    </border>
    <border>
      <top style="thin">
        <color rgb="00FF0000"/>
      </top>
    </border>
    <border>
      <right style="thin">
        <color rgb="00FF0000"/>
      </right>
      <top style="thin">
        <color rgb="00FF0000"/>
      </top>
    </border>
    <border>
      <left style="thin">
        <color rgb="00FF0000"/>
      </left>
    </border>
    <border>
      <right style="thin">
        <color rgb="00FF0000"/>
      </right>
    </border>
    <border>
      <left style="thin">
        <color rgb="00FF0000"/>
      </left>
      <bottom style="thin">
        <color rgb="00FF0000"/>
      </bottom>
    </border>
    <border>
      <bottom style="thin">
        <color rgb="00FF0000"/>
      </bottom>
    </border>
    <border>
      <right style="thin">
        <color rgb="00FF0000"/>
      </right>
      <bottom style="thin">
        <color rgb="00FF0000"/>
      </bottom>
    </border>
    <border>
      <left style="thin">
        <color rgb="000070C0"/>
      </left>
      <top style="thin">
        <color rgb="000070C0"/>
      </top>
    </border>
    <border>
      <top style="thin">
        <color rgb="000070C0"/>
      </top>
    </border>
    <border>
      <right style="thin">
        <color rgb="000070C0"/>
      </right>
      <top style="thin">
        <color rgb="000070C0"/>
      </top>
    </border>
    <border>
      <left style="thin">
        <color rgb="000070C0"/>
      </left>
    </border>
    <border>
      <right style="thin">
        <color rgb="000070C0"/>
      </right>
    </border>
    <border>
      <left style="thin">
        <color rgb="000070C0"/>
      </left>
      <bottom style="thin">
        <color rgb="000070C0"/>
      </bottom>
    </border>
    <border>
      <bottom style="thin">
        <color rgb="000070C0"/>
      </bottom>
    </border>
    <border>
      <right style="thin">
        <color rgb="000070C0"/>
      </right>
      <bottom style="thin">
        <color rgb="000070C0"/>
      </bottom>
    </border>
    <border>
      <left style="thin">
        <color rgb="00FFA500"/>
      </left>
      <top style="thin">
        <color rgb="00FFA500"/>
      </top>
    </border>
    <border>
      <top style="thin">
        <color rgb="00FFA500"/>
      </top>
    </border>
    <border>
      <right style="thin">
        <color rgb="00FFA500"/>
      </right>
      <top style="thin">
        <color rgb="00FFA500"/>
      </top>
    </border>
    <border>
      <left style="thin">
        <color rgb="00FFA500"/>
      </left>
    </border>
    <border>
      <right style="thin">
        <color rgb="00FFA500"/>
      </right>
    </border>
    <border>
      <left style="thin">
        <color rgb="00FFA500"/>
      </left>
      <bottom style="thin">
        <color rgb="00FFA500"/>
      </bottom>
    </border>
    <border>
      <bottom style="thin">
        <color rgb="00FFA500"/>
      </bottom>
    </border>
    <border>
      <right style="thin">
        <color rgb="00FFA500"/>
      </right>
      <bottom style="thin">
        <color rgb="00FFA500"/>
      </bottom>
    </border>
    <border>
      <left style="thin">
        <color rgb="0050C878"/>
      </left>
      <top style="thin">
        <color rgb="0050C878"/>
      </top>
    </border>
    <border>
      <top style="thin">
        <color rgb="0050C878"/>
      </top>
    </border>
    <border>
      <right style="thin">
        <color rgb="0050C878"/>
      </right>
      <top style="thin">
        <color rgb="0050C878"/>
      </top>
    </border>
    <border>
      <left style="thin">
        <color rgb="0050C878"/>
      </left>
    </border>
    <border>
      <right style="thin">
        <color rgb="0050C878"/>
      </right>
    </border>
    <border>
      <left style="thin">
        <color rgb="0050C878"/>
      </left>
      <bottom style="thin">
        <color rgb="0050C878"/>
      </bottom>
    </border>
    <border>
      <bottom style="thin">
        <color rgb="0050C878"/>
      </bottom>
    </border>
    <border>
      <right style="thin">
        <color rgb="0050C878"/>
      </right>
      <bottom style="thin">
        <color rgb="0050C87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right" vertical="center"/>
    </xf>
    <xf numFmtId="0" fontId="6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2" fillId="9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3" fillId="8" borderId="5" applyAlignment="1" pivotButton="0" quotePrefix="0" xfId="0">
      <alignment horizontal="center" vertical="center"/>
    </xf>
    <xf numFmtId="0" fontId="0" fillId="0" borderId="6" pivotButton="0" quotePrefix="0" xfId="0"/>
    <xf numFmtId="0" fontId="14" fillId="8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2" fillId="1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2" fillId="11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5" fillId="8" borderId="21" applyAlignment="1" pivotButton="0" quotePrefix="0" xfId="0">
      <alignment horizontal="center" vertical="center"/>
    </xf>
    <xf numFmtId="0" fontId="0" fillId="0" borderId="22" pivotButton="0" quotePrefix="0" xfId="0"/>
    <xf numFmtId="0" fontId="16" fillId="8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1" pivotButton="0" quotePrefix="0" xfId="0"/>
    <xf numFmtId="0" fontId="0" fillId="0" borderId="2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2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3" fillId="15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8">
    <dxf>
      <font>
        <color rgb="00FFFFFF"/>
      </font>
      <fill>
        <patternFill patternType="solid">
          <fgColor rgb="FF50C878"/>
        </patternFill>
      </fill>
    </dxf>
    <dxf>
      <font>
        <color rgb="00333333"/>
      </font>
      <fill>
        <patternFill patternType="solid">
          <fgColor rgb="FFFFA500"/>
        </patternFill>
      </fill>
    </dxf>
    <dxf>
      <font>
        <b val="1"/>
        <color rgb="00FFFFFF"/>
      </font>
      <fill>
        <patternFill patternType="solid">
          <fgColor rgb="FFFF0000"/>
        </patternFill>
      </fill>
    </dxf>
    <dxf>
      <font>
        <color rgb="00FFFFFF"/>
      </font>
      <fill>
        <patternFill patternType="solid">
          <fgColor rgb="FFFF0000"/>
        </patternFill>
      </fill>
    </dxf>
    <dxf>
      <fill>
        <patternFill patternType="solid">
          <fgColor rgb="FF50C878"/>
        </patternFill>
      </fill>
    </dxf>
    <dxf>
      <fill>
        <patternFill patternType="solid">
          <fgColor rgb="FFFFA500"/>
        </patternFill>
      </fill>
    </dxf>
    <dxf>
      <fill>
        <patternFill patternType="solid">
          <fgColor rgb="FFFF0000"/>
        </patternFill>
      </fill>
    </dxf>
    <dxf>
      <font>
        <b val="1"/>
      </font>
      <fill>
        <patternFill patternType="solid">
          <f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Config_Shifts" displayName="tblConfig_Shifts" ref="A4:D6" headerRowCount="1">
  <autoFilter ref="A4:D6"/>
  <tableColumns count="4">
    <tableColumn id="1" name="ShiftName"/>
    <tableColumn id="2" name="StartTime"/>
    <tableColumn id="3" name="EndTime"/>
    <tableColumn id="4" name="DaysPer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nfig_Rules" displayName="tblConfig_Rules" ref="A10:C15" headerRowCount="1">
  <autoFilter ref="A10:C15"/>
  <tableColumns count="3">
    <tableColumn id="1" name="RuleName"/>
    <tableColumn id="2" name="Valu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nfig_Areas" displayName="tblConfig_Areas" ref="E4:E7" headerRowCount="1">
  <autoFilter ref="E4:E7"/>
  <tableColumns count="1">
    <tableColumn id="5" name="Area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acked" displayName="tblPacked" ref="A1:R2" headerRowCount="1">
  <autoFilter ref="A1:R2"/>
  <tableColumns count="18">
    <tableColumn id="1" name="LPN"/>
    <tableColumn id="2" name="PALLET"/>
    <tableColumn id="3" name="STORE"/>
    <tableColumn id="4" name="DIVISION"/>
    <tableColumn id="5" name="FACILITY_NAME"/>
    <tableColumn id="6" name="STORE_STATUS"/>
    <tableColumn id="7" name="PICK_LOC"/>
    <tableColumn id="8" name="UNITS"/>
    <tableColumn id="9" name="LAST_UPDATE"/>
    <tableColumn id="10" name="DAYS_SINCE_CLOSE"/>
    <tableColumn id="11" name="LOCKS"/>
    <tableColumn id="12" name="TOT_COST"/>
    <tableColumn id="13" name="TOT_RETAIL"/>
    <tableColumn id="14" name="LAST_PACKED"/>
    <tableColumn id="15" name="AgeDays"/>
    <tableColumn id="16" name="IsShipped"/>
    <tableColumn id="17" name="PackedStatus"/>
    <tableColumn id="18" name="ActionFlag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HRP" displayName="tblHRP" ref="A1:Q2" headerRowCount="1">
  <autoFilter ref="A1:Q2"/>
  <tableColumns count="17">
    <tableColumn id="1" name="CATEGORY"/>
    <tableColumn id="2" name="DAYS_SINCE_AVAILABLE_FOR_CITY"/>
    <tableColumn id="3" name="DATE_SCANNED_TO_CITY"/>
    <tableColumn id="4" name="OLPN"/>
    <tableColumn id="5" name="XREF_OLPN"/>
    <tableColumn id="6" name="STORE_NUMBER"/>
    <tableColumn id="7" name="STORE_NAME"/>
    <tableColumn id="8" name="CARTON_LOCKS"/>
    <tableColumn id="9" name="LPN_STATUS"/>
    <tableColumn id="10" name="STORE_ACK_STATUS"/>
    <tableColumn id="11" name="UNITS"/>
    <tableColumn id="12" name="COST_VALUE"/>
    <tableColumn id="13" name="RETAIL_VALUE"/>
    <tableColumn id="14" name="CartonID"/>
    <tableColumn id="15" name="IsAcknowledged"/>
    <tableColumn id="16" name="IncludeInHRP"/>
    <tableColumn id="17" name="AgeBucke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blShipped" displayName="tblShipped" ref="A1:F2" headerRowCount="1">
  <autoFilter ref="A1:F2"/>
  <tableColumns count="6">
    <tableColumn id="1" name="BusinessDate"/>
    <tableColumn id="2" name="ShiftName"/>
    <tableColumn id="3" name="LPN"/>
    <tableColumn id="4" name="EnteredBy"/>
    <tableColumn id="5" name="Notes"/>
    <tableColumn id="6" name="DupFl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Staffing" displayName="tblStaffing" ref="A1:D2" headerRowCount="1">
  <autoFilter ref="A1:D2"/>
  <tableColumns count="4">
    <tableColumn id="1" name="BusinessDate"/>
    <tableColumn id="2" name="ShiftName"/>
    <tableColumn id="3" name="Area"/>
    <tableColumn id="4" name="StaffAvail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TargetsDaily" displayName="tblTargetsDaily" ref="A1:C2" headerRowCount="1">
  <autoFilter ref="A1:C2"/>
  <tableColumns count="3">
    <tableColumn id="1" name="BusinessDate"/>
    <tableColumn id="2" name="ShiftName"/>
    <tableColumn id="3" name="TargetPerPersonPerShift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blDispatchKPI" displayName="tblDispatchKPI" ref="A1:H2" headerRowCount="1">
  <autoFilter ref="A1:H2"/>
  <tableColumns count="8">
    <tableColumn id="1" name="BusinessDate"/>
    <tableColumn id="2" name="ShiftName"/>
    <tableColumn id="3" name="ShippedCartons"/>
    <tableColumn id="4" name="TotalStaff"/>
    <tableColumn id="5" name="TargetPerPerson"/>
    <tableColumn id="6" name="ExpectedCartons"/>
    <tableColumn id="7" name="PerformancePct"/>
    <tableColumn id="8" name="R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DispatchDaily" displayName="tblDispatchDaily" ref="A1:E2" headerRowCount="1">
  <autoFilter ref="A1:E2"/>
  <tableColumns count="5">
    <tableColumn id="1" name="BusinessDate"/>
    <tableColumn id="2" name="TotalShipped"/>
    <tableColumn id="3" name="TotalStaff"/>
    <tableColumn id="4" name="TotalExpected"/>
    <tableColumn id="5" name="DailyPerformanceP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istory" displayName="tblHistory" ref="A1:J2" headerRowCount="1">
  <autoFilter ref="A1:J2"/>
  <tableColumns count="10">
    <tableColumn id="1" name="SnapshotTimestamp"/>
    <tableColumn id="2" name="BusinessDate"/>
    <tableColumn id="3" name="ShiftName"/>
    <tableColumn id="4" name="ShippedCartons"/>
    <tableColumn id="5" name="TotalStaff"/>
    <tableColumn id="6" name="ExpectedCartons"/>
    <tableColumn id="7" name="PerformancePct"/>
    <tableColumn id="8" name="RAG"/>
    <tableColumn id="9" name="HRP_OpenCount"/>
    <tableColumn id="10" name="Packed_Overdue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IN_PACKED!A1" TargetMode="External" Id="rId1" /><Relationship Type="http://schemas.openxmlformats.org/officeDocument/2006/relationships/hyperlink" Target="#IN_HRP!A1" TargetMode="External" Id="rId2" /><Relationship Type="http://schemas.openxmlformats.org/officeDocument/2006/relationships/hyperlink" Target="#IN_SHIPPED_LPNS!A1" TargetMode="External" Id="rId3" /><Relationship Type="http://schemas.openxmlformats.org/officeDocument/2006/relationships/hyperlink" Target="#IN_STAFFING!A1" TargetMode="External" Id="rId4" /><Relationship Type="http://schemas.openxmlformats.org/officeDocument/2006/relationships/hyperlink" Target="#T_DISPATCH_KPI!A1" TargetMode="External" Id="rId5" /><Relationship Type="http://schemas.openxmlformats.org/officeDocument/2006/relationships/hyperlink" Target="#DATA_QUALITY!A1" TargetMode="External" Id="rId6" /><Relationship Type="http://schemas.openxmlformats.org/officeDocument/2006/relationships/hyperlink" Target="#HISTORY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6" customHeight="1">
      <c r="A1" s="1" t="inlineStr">
        <is>
          <t>WAREHOUSE / DISPATCH KPI DASHBOARD</t>
        </is>
      </c>
    </row>
    <row r="2" ht="18" customHeight="1">
      <c r="A2" s="2" t="inlineStr">
        <is>
          <t>Last Refreshed:</t>
        </is>
      </c>
      <c r="D2" s="3">
        <f>TEXT(NOW(),"dd/mm/yyyy hh:mm")</f>
        <v/>
      </c>
      <c r="H2" s="4" t="inlineStr">
        <is>
          <t>Warehouse / Dispatch KPI System  v0.0.1-beta</t>
        </is>
      </c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0" customHeight="1">
      <c r="A4" s="6" t="inlineStr">
        <is>
          <t xml:space="preserve">  KPI OVERVIEW</t>
        </is>
      </c>
    </row>
    <row r="5" ht="18" customHeight="1">
      <c r="A5" s="5" t="n"/>
      <c r="B5" s="7" t="inlineStr">
        <is>
          <t>HRP OPEN ITEMS</t>
        </is>
      </c>
      <c r="C5" s="8" t="n"/>
      <c r="D5" s="9" t="n"/>
      <c r="E5" s="5" t="n"/>
      <c r="F5" s="7" t="inlineStr">
        <is>
          <t>PACKED OVERDUE</t>
        </is>
      </c>
      <c r="G5" s="8" t="n"/>
      <c r="H5" s="9" t="n"/>
      <c r="I5" s="5" t="n"/>
      <c r="J5" s="10" t="inlineStr">
        <is>
          <t>DISPATCH PERF TODAY</t>
        </is>
      </c>
      <c r="K5" s="11" t="n"/>
      <c r="L5" s="12" t="n"/>
      <c r="M5" s="5" t="n"/>
      <c r="N5" s="5" t="n"/>
    </row>
    <row r="6" ht="42" customHeight="1">
      <c r="A6" s="5" t="n"/>
      <c r="B6" s="13">
        <f>COUNTIF(tblHRP[IncludeInHRP],TRUE)</f>
        <v/>
      </c>
      <c r="D6" s="14" t="n"/>
      <c r="E6" s="5" t="n"/>
      <c r="F6" s="13">
        <f>COUNTIF(tblPacked[ActionFlag],TRUE)</f>
        <v/>
      </c>
      <c r="H6" s="14" t="n"/>
      <c r="I6" s="5" t="n"/>
      <c r="J6" s="15">
        <f>IFERROR(TEXT(INDEX(tblDispatchDaily[DailyPerformancePct],MATCH(TODAY(),tblDispatchDaily[BusinessDate],0)),"0.0%"),"N/A")</f>
        <v/>
      </c>
      <c r="L6" s="16" t="n"/>
      <c r="M6" s="5" t="n"/>
      <c r="N6" s="5" t="n"/>
    </row>
    <row r="7" ht="8" customHeight="1">
      <c r="A7" s="5" t="n"/>
      <c r="B7" s="17" t="n"/>
      <c r="D7" s="14" t="n"/>
      <c r="E7" s="5" t="n"/>
      <c r="F7" s="17" t="n"/>
      <c r="H7" s="14" t="n"/>
      <c r="I7" s="5" t="n"/>
      <c r="J7" s="18" t="n"/>
      <c r="L7" s="16" t="n"/>
      <c r="M7" s="5" t="n"/>
      <c r="N7" s="5" t="n"/>
    </row>
    <row r="8" ht="8" customHeight="1">
      <c r="A8" s="5" t="n"/>
      <c r="B8" s="19" t="n"/>
      <c r="C8" s="20" t="n"/>
      <c r="D8" s="21" t="n"/>
      <c r="E8" s="5" t="n"/>
      <c r="F8" s="19" t="n"/>
      <c r="G8" s="20" t="n"/>
      <c r="H8" s="21" t="n"/>
      <c r="I8" s="5" t="n"/>
      <c r="J8" s="22" t="n"/>
      <c r="K8" s="23" t="n"/>
      <c r="L8" s="24" t="n"/>
      <c r="M8" s="5" t="n"/>
      <c r="N8" s="5" t="n"/>
    </row>
    <row r="9" ht="18" customHeight="1">
      <c r="A9" s="5" t="n"/>
      <c r="B9" s="25" t="inlineStr">
        <is>
          <t>DUPLICATE LPNs</t>
        </is>
      </c>
      <c r="C9" s="26" t="n"/>
      <c r="D9" s="27" t="n"/>
      <c r="E9" s="5" t="n"/>
      <c r="F9" s="10" t="inlineStr">
        <is>
          <t>STAFF TODAY</t>
        </is>
      </c>
      <c r="G9" s="11" t="n"/>
      <c r="H9" s="12" t="n"/>
      <c r="I9" s="5" t="n"/>
      <c r="J9" s="28" t="inlineStr">
        <is>
          <t>CARTONS SHIPPED TODAY</t>
        </is>
      </c>
      <c r="K9" s="29" t="n"/>
      <c r="L9" s="30" t="n"/>
      <c r="M9" s="5" t="n"/>
      <c r="N9" s="5" t="n"/>
    </row>
    <row r="10" ht="42" customHeight="1">
      <c r="A10" s="5" t="n"/>
      <c r="B10" s="31">
        <f>COUNTIF(tblShipped[DupFlag],TRUE)</f>
        <v/>
      </c>
      <c r="D10" s="32" t="n"/>
      <c r="E10" s="5" t="n"/>
      <c r="F10" s="15">
        <f>SUMIF(tblDispatchKPI[BusinessDate],TODAY(),tblDispatchKPI[TotalStaff])</f>
        <v/>
      </c>
      <c r="H10" s="16" t="n"/>
      <c r="I10" s="5" t="n"/>
      <c r="J10" s="33">
        <f>SUMIF(tblDispatchKPI[BusinessDate],TODAY(),tblDispatchKPI[ShippedCartons])</f>
        <v/>
      </c>
      <c r="L10" s="34" t="n"/>
      <c r="M10" s="5" t="n"/>
      <c r="N10" s="5" t="n"/>
    </row>
    <row r="11" ht="8" customHeight="1">
      <c r="A11" s="5" t="n"/>
      <c r="B11" s="35" t="n"/>
      <c r="D11" s="32" t="n"/>
      <c r="E11" s="5" t="n"/>
      <c r="F11" s="18" t="n"/>
      <c r="H11" s="16" t="n"/>
      <c r="I11" s="5" t="n"/>
      <c r="J11" s="36" t="n"/>
      <c r="L11" s="34" t="n"/>
      <c r="M11" s="5" t="n"/>
      <c r="N11" s="5" t="n"/>
    </row>
    <row r="12" ht="8" customHeight="1">
      <c r="A12" s="5" t="n"/>
      <c r="B12" s="37" t="n"/>
      <c r="C12" s="38" t="n"/>
      <c r="D12" s="39" t="n"/>
      <c r="E12" s="5" t="n"/>
      <c r="F12" s="22" t="n"/>
      <c r="G12" s="23" t="n"/>
      <c r="H12" s="24" t="n"/>
      <c r="I12" s="5" t="n"/>
      <c r="J12" s="40" t="n"/>
      <c r="K12" s="41" t="n"/>
      <c r="L12" s="42" t="n"/>
      <c r="M12" s="5" t="n"/>
      <c r="N12" s="5" t="n"/>
    </row>
    <row r="13" ht="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20" customHeight="1">
      <c r="A14" s="6" t="inlineStr">
        <is>
          <t xml:space="preserve">  PERFORMANCE SUMMARY  (Most Recent Shifts)</t>
        </is>
      </c>
    </row>
    <row r="15" ht="16" customHeight="1">
      <c r="A15" s="43" t="inlineStr">
        <is>
          <t>Date</t>
        </is>
      </c>
      <c r="B15" s="43" t="inlineStr">
        <is>
          <t>Shift</t>
        </is>
      </c>
      <c r="C15" s="43" t="inlineStr">
        <is>
          <t>Shipped</t>
        </is>
      </c>
      <c r="D15" s="43" t="inlineStr">
        <is>
          <t>Expected</t>
        </is>
      </c>
      <c r="E15" s="43" t="inlineStr">
        <is>
          <t>Perf %</t>
        </is>
      </c>
      <c r="F15" s="43" t="inlineStr">
        <is>
          <t>RAG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4" customHeight="1">
      <c r="A16" s="44">
        <f>IFERROR(TEXT(INDEX(tblDispatchKPI[BusinessDate],ROWS(tblDispatchKPI[BusinessDate])-0),"dd/mm/yyyy"),"")</f>
        <v/>
      </c>
      <c r="B16" s="44">
        <f>IFERROR(INDEX(tblDispatchKPI[ShiftName],ROWS(tblDispatchKPI[BusinessDate])-0),"")</f>
        <v/>
      </c>
      <c r="C16" s="44">
        <f>IFERROR(INDEX(tblDispatchKPI[ShippedCartons],ROWS(tblDispatchKPI[BusinessDate])-0),"")</f>
        <v/>
      </c>
      <c r="D16" s="44">
        <f>IFERROR(INDEX(tblDispatchKPI[ExpectedCartons],ROWS(tblDispatchKPI[BusinessDate])-0),"")</f>
        <v/>
      </c>
      <c r="E16" s="44">
        <f>IFERROR(TEXT(INDEX(tblDispatchKPI[PerformancePct],ROWS(tblDispatchKPI[BusinessDate])-0),"0.0%"),"")</f>
        <v/>
      </c>
      <c r="F16" s="44">
        <f>IFERROR(INDEX(tblDispatchKPI[RAG],ROWS(tblDispatchKPI[BusinessDate])-0),"")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4" customHeight="1">
      <c r="A17" s="45">
        <f>IFERROR(TEXT(INDEX(tblDispatchKPI[BusinessDate],ROWS(tblDispatchKPI[BusinessDate])-1),"dd/mm/yyyy"),"")</f>
        <v/>
      </c>
      <c r="B17" s="45">
        <f>IFERROR(INDEX(tblDispatchKPI[ShiftName],ROWS(tblDispatchKPI[BusinessDate])-1),"")</f>
        <v/>
      </c>
      <c r="C17" s="45">
        <f>IFERROR(INDEX(tblDispatchKPI[ShippedCartons],ROWS(tblDispatchKPI[BusinessDate])-1),"")</f>
        <v/>
      </c>
      <c r="D17" s="45">
        <f>IFERROR(INDEX(tblDispatchKPI[ExpectedCartons],ROWS(tblDispatchKPI[BusinessDate])-1),"")</f>
        <v/>
      </c>
      <c r="E17" s="45">
        <f>IFERROR(TEXT(INDEX(tblDispatchKPI[PerformancePct],ROWS(tblDispatchKPI[BusinessDate])-1),"0.0%"),"")</f>
        <v/>
      </c>
      <c r="F17" s="45">
        <f>IFERROR(INDEX(tblDispatchKPI[RAG],ROWS(tblDispatchKPI[BusinessDate])-1),"")</f>
        <v/>
      </c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4" customHeight="1">
      <c r="A18" s="44">
        <f>IFERROR(TEXT(INDEX(tblDispatchKPI[BusinessDate],ROWS(tblDispatchKPI[BusinessDate])-2),"dd/mm/yyyy"),"")</f>
        <v/>
      </c>
      <c r="B18" s="44">
        <f>IFERROR(INDEX(tblDispatchKPI[ShiftName],ROWS(tblDispatchKPI[BusinessDate])-2),"")</f>
        <v/>
      </c>
      <c r="C18" s="44">
        <f>IFERROR(INDEX(tblDispatchKPI[ShippedCartons],ROWS(tblDispatchKPI[BusinessDate])-2),"")</f>
        <v/>
      </c>
      <c r="D18" s="44">
        <f>IFERROR(INDEX(tblDispatchKPI[ExpectedCartons],ROWS(tblDispatchKPI[BusinessDate])-2),"")</f>
        <v/>
      </c>
      <c r="E18" s="44">
        <f>IFERROR(TEXT(INDEX(tblDispatchKPI[PerformancePct],ROWS(tblDispatchKPI[BusinessDate])-2),"0.0%"),"")</f>
        <v/>
      </c>
      <c r="F18" s="44">
        <f>IFERROR(INDEX(tblDispatchKPI[RAG],ROWS(tblDispatchKPI[BusinessDate])-2),"")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20" customHeight="1">
      <c r="A20" s="46" t="inlineStr">
        <is>
          <t xml:space="preserve">  RAG LEGEND</t>
        </is>
      </c>
    </row>
    <row r="21" ht="16" customHeight="1">
      <c r="A21" s="5" t="n"/>
      <c r="B21" s="47" t="inlineStr">
        <is>
          <t>GREEN</t>
        </is>
      </c>
      <c r="E21" s="5" t="n"/>
      <c r="F21" s="48" t="inlineStr">
        <is>
          <t>AMBER</t>
        </is>
      </c>
      <c r="I21" s="5" t="n"/>
      <c r="J21" s="49" t="inlineStr">
        <is>
          <t>RED</t>
        </is>
      </c>
      <c r="M21" s="5" t="n"/>
      <c r="N21" s="5" t="n"/>
    </row>
    <row r="22" ht="14" customHeight="1">
      <c r="A22" s="5" t="n"/>
      <c r="B22" s="50" t="inlineStr">
        <is>
          <t>Dispatch Performance &gt;= 100%</t>
        </is>
      </c>
      <c r="E22" s="5" t="n"/>
      <c r="F22" s="50" t="inlineStr">
        <is>
          <t>Dispatch Performance &gt;= 90% and &lt; 100%</t>
        </is>
      </c>
      <c r="I22" s="5" t="n"/>
      <c r="J22" s="50" t="inlineStr">
        <is>
          <t>Dispatch Performance &lt; 90%</t>
        </is>
      </c>
      <c r="M22" s="5" t="n"/>
      <c r="N22" s="5" t="n"/>
    </row>
    <row r="23" ht="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 ht="20" customHeight="1">
      <c r="A24" s="51" t="inlineStr">
        <is>
          <t xml:space="preserve">  QUICK NAVIGATION</t>
        </is>
      </c>
    </row>
    <row r="25" ht="16" customHeight="1">
      <c r="A25" s="52" t="inlineStr">
        <is>
          <t>&gt;&gt; IN_PACKED</t>
        </is>
      </c>
      <c r="B25" s="5" t="n"/>
      <c r="C25" s="52" t="inlineStr">
        <is>
          <t>&gt;&gt; IN_HRP</t>
        </is>
      </c>
      <c r="D25" s="5" t="n"/>
      <c r="E25" s="53" t="inlineStr">
        <is>
          <t>&gt;&gt; IN_SHIPPED_LPNS</t>
        </is>
      </c>
      <c r="F25" s="5" t="n"/>
      <c r="G25" s="53" t="inlineStr">
        <is>
          <t>&gt;&gt; IN_STAFFING</t>
        </is>
      </c>
      <c r="H25" s="5" t="n"/>
      <c r="I25" s="54" t="inlineStr">
        <is>
          <t>&gt;&gt; T_DISPATCH_KPI</t>
        </is>
      </c>
      <c r="J25" s="5" t="n"/>
      <c r="K25" s="54" t="inlineStr">
        <is>
          <t>&gt;&gt; DATA_QUALITY</t>
        </is>
      </c>
      <c r="L25" s="5" t="n"/>
      <c r="M25" s="55" t="inlineStr">
        <is>
          <t>&gt;&gt; HISTORY</t>
        </is>
      </c>
      <c r="N25" s="5" t="n"/>
    </row>
    <row r="26" ht="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0" customHeight="1">
      <c r="A27" s="56" t="inlineStr">
        <is>
          <t xml:space="preserve">  CONTROLS  (VBA macro buttons — run from Developer tab if needed)</t>
        </is>
      </c>
    </row>
    <row r="28" ht="18" customHeight="1">
      <c r="A28" s="5" t="n"/>
      <c r="B28" s="57" t="inlineStr">
        <is>
          <t>[ REFRESH ALL ]</t>
        </is>
      </c>
      <c r="E28" s="5" t="n"/>
      <c r="F28" s="57" t="inlineStr">
        <is>
          <t>[ TAKE DAILY SNAPSHOT ]</t>
        </is>
      </c>
      <c r="I28" s="5" t="n"/>
      <c r="J28" s="57" t="inlineStr">
        <is>
          <t>[ POPULATE ACTION SHEETS ]</t>
        </is>
      </c>
      <c r="M28" s="5" t="n"/>
      <c r="N28" s="5" t="n"/>
    </row>
    <row r="29" ht="24" customHeight="1">
      <c r="A29" s="5" t="n"/>
      <c r="B29" s="58" t="inlineStr">
        <is>
          <t>Recalculates all formulas &amp; refreshes PivotTables</t>
        </is>
      </c>
      <c r="E29" s="5" t="n"/>
      <c r="F29" s="58" t="inlineStr">
        <is>
          <t>Appends current KPIs to the HISTORY sheet</t>
        </is>
      </c>
      <c r="I29" s="5" t="n"/>
      <c r="J29" s="58" t="inlineStr">
        <is>
          <t>Copies filtered data to ACTION_HRP and ACTION_PACKED</t>
        </is>
      </c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</sheetData>
  <mergeCells count="33">
    <mergeCell ref="F5:H5"/>
    <mergeCell ref="J6:L8"/>
    <mergeCell ref="A24:N24"/>
    <mergeCell ref="B10:D12"/>
    <mergeCell ref="B29:D29"/>
    <mergeCell ref="A2:C2"/>
    <mergeCell ref="A1:N1"/>
    <mergeCell ref="B28:D28"/>
    <mergeCell ref="F22:H22"/>
    <mergeCell ref="F28:H28"/>
    <mergeCell ref="B6:D8"/>
    <mergeCell ref="J22:L22"/>
    <mergeCell ref="B9:D9"/>
    <mergeCell ref="F9:H9"/>
    <mergeCell ref="J21:L21"/>
    <mergeCell ref="A27:N27"/>
    <mergeCell ref="B5:D5"/>
    <mergeCell ref="F10:H12"/>
    <mergeCell ref="D2:G2"/>
    <mergeCell ref="F29:H29"/>
    <mergeCell ref="A14:N14"/>
    <mergeCell ref="J29:L29"/>
    <mergeCell ref="J5:L5"/>
    <mergeCell ref="J28:L28"/>
    <mergeCell ref="A4:N4"/>
    <mergeCell ref="F6:H8"/>
    <mergeCell ref="A20:N20"/>
    <mergeCell ref="B22:D22"/>
    <mergeCell ref="H2:N2"/>
    <mergeCell ref="B21:D21"/>
    <mergeCell ref="J9:L9"/>
    <mergeCell ref="F21:H21"/>
    <mergeCell ref="J10:L12"/>
  </mergeCells>
  <conditionalFormatting sqref="F16">
    <cfRule type="containsText" priority="1" operator="containsText" dxfId="0" text="Green"/>
    <cfRule type="containsText" priority="2" operator="containsText" dxfId="1" text="Amber"/>
    <cfRule type="containsText" priority="3" operator="containsText" dxfId="2" text="Red"/>
  </conditionalFormatting>
  <conditionalFormatting sqref="F17">
    <cfRule type="containsText" priority="4" operator="containsText" dxfId="0" text="Green"/>
    <cfRule type="containsText" priority="5" operator="containsText" dxfId="1" text="Amber"/>
    <cfRule type="containsText" priority="6" operator="containsText" dxfId="2" text="Red"/>
  </conditionalFormatting>
  <conditionalFormatting sqref="F18">
    <cfRule type="containsText" priority="7" operator="containsText" dxfId="0" text="Green"/>
    <cfRule type="containsText" priority="8" operator="containsText" dxfId="1" text="Amber"/>
    <cfRule type="containsText" priority="9" operator="containsText" dxfId="2" text="Red"/>
  </conditionalFormatting>
  <hyperlinks>
    <hyperlink xmlns:r="http://schemas.openxmlformats.org/officeDocument/2006/relationships" ref="A25" r:id="rId1"/>
    <hyperlink xmlns:r="http://schemas.openxmlformats.org/officeDocument/2006/relationships" ref="C25" r:id="rId2"/>
    <hyperlink xmlns:r="http://schemas.openxmlformats.org/officeDocument/2006/relationships" ref="E25" r:id="rId3"/>
    <hyperlink xmlns:r="http://schemas.openxmlformats.org/officeDocument/2006/relationships" ref="G25" r:id="rId4"/>
    <hyperlink xmlns:r="http://schemas.openxmlformats.org/officeDocument/2006/relationships" ref="I25" r:id="rId5"/>
    <hyperlink xmlns:r="http://schemas.openxmlformats.org/officeDocument/2006/relationships" ref="K25" r:id="rId6"/>
    <hyperlink xmlns:r="http://schemas.openxmlformats.org/officeDocument/2006/relationships" ref="M25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3" customWidth="1" min="4" max="4"/>
    <col width="18" customWidth="1" min="5" max="5"/>
  </cols>
  <sheetData>
    <row r="1">
      <c r="A1" s="59" t="inlineStr">
        <is>
          <t>CONFIG - DO NOT DELETE OR RENAME THIS SHEET</t>
        </is>
      </c>
    </row>
    <row r="2"/>
    <row r="3">
      <c r="A3" s="60" t="inlineStr">
        <is>
          <t>SHIFTS</t>
        </is>
      </c>
      <c r="E3" s="60" t="inlineStr">
        <is>
          <t>AREA LIST</t>
        </is>
      </c>
    </row>
    <row r="4">
      <c r="A4" s="61" t="inlineStr">
        <is>
          <t>ShiftName</t>
        </is>
      </c>
      <c r="B4" s="61" t="inlineStr">
        <is>
          <t>StartTime</t>
        </is>
      </c>
      <c r="C4" s="61" t="inlineStr">
        <is>
          <t>EndTime</t>
        </is>
      </c>
      <c r="D4" s="61" t="inlineStr">
        <is>
          <t>DaysPerWeek</t>
        </is>
      </c>
      <c r="E4" s="61" t="inlineStr">
        <is>
          <t>AreaName</t>
        </is>
      </c>
    </row>
    <row r="5">
      <c r="A5" t="inlineStr">
        <is>
          <t>Day</t>
        </is>
      </c>
      <c r="B5" t="inlineStr">
        <is>
          <t>08:00</t>
        </is>
      </c>
      <c r="C5" t="inlineStr">
        <is>
          <t>16:00</t>
        </is>
      </c>
      <c r="D5" t="n">
        <v>6</v>
      </c>
      <c r="E5" t="inlineStr">
        <is>
          <t>Auditing</t>
        </is>
      </c>
    </row>
    <row r="6">
      <c r="A6" t="inlineStr">
        <is>
          <t>Night</t>
        </is>
      </c>
      <c r="B6" t="inlineStr">
        <is>
          <t>16:00</t>
        </is>
      </c>
      <c r="C6" t="inlineStr">
        <is>
          <t>00:00</t>
        </is>
      </c>
      <c r="D6" t="n">
        <v>6</v>
      </c>
      <c r="E6" t="inlineStr">
        <is>
          <t>Manual handover</t>
        </is>
      </c>
    </row>
    <row r="7">
      <c r="E7" t="inlineStr">
        <is>
          <t>Dispatch sealing</t>
        </is>
      </c>
    </row>
    <row r="8"/>
    <row r="9">
      <c r="A9" s="60" t="inlineStr">
        <is>
          <t>KPI RULES</t>
        </is>
      </c>
    </row>
    <row r="10">
      <c r="A10" s="61" t="inlineStr">
        <is>
          <t>RuleName</t>
        </is>
      </c>
      <c r="B10" s="61" t="inlineStr">
        <is>
          <t>Value</t>
        </is>
      </c>
      <c r="C10" s="61" t="inlineStr">
        <is>
          <t>Description</t>
        </is>
      </c>
    </row>
    <row r="11">
      <c r="A11" t="inlineStr">
        <is>
          <t>HRP_MaxDaysToShow</t>
        </is>
      </c>
      <c r="B11" t="n">
        <v>1</v>
      </c>
      <c r="C11" t="inlineStr">
        <is>
          <t>Max days since available for city</t>
        </is>
      </c>
    </row>
    <row r="12">
      <c r="A12" t="inlineStr">
        <is>
          <t>Packed_MaxAgeDays</t>
        </is>
      </c>
      <c r="B12" t="n">
        <v>2</v>
      </c>
      <c r="C12" t="inlineStr">
        <is>
          <t>Max age (days) before packed item is overdue</t>
        </is>
      </c>
    </row>
    <row r="13">
      <c r="A13" t="inlineStr">
        <is>
          <t>Audit_SampleSize</t>
        </is>
      </c>
      <c r="B13" t="n">
        <v>20</v>
      </c>
      <c r="C13" t="inlineStr">
        <is>
          <t>Required number of audits per shift</t>
        </is>
      </c>
    </row>
    <row r="14">
      <c r="A14" t="inlineStr">
        <is>
          <t>Amber_Threshold</t>
        </is>
      </c>
      <c r="B14" t="n">
        <v>0.9</v>
      </c>
      <c r="C14" t="inlineStr">
        <is>
          <t>Performance % for Amber RAG</t>
        </is>
      </c>
    </row>
    <row r="15">
      <c r="A15" t="inlineStr">
        <is>
          <t>Green_Threshold</t>
        </is>
      </c>
      <c r="B15" t="n">
        <v>1</v>
      </c>
      <c r="C15" t="inlineStr">
        <is>
          <t>Performance % for Green RAG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4" customWidth="1" min="6" max="6"/>
    <col width="10" customWidth="1" min="7" max="7"/>
    <col width="10" customWidth="1" min="8" max="8"/>
    <col width="28" customWidth="1" min="9" max="9"/>
    <col width="18" customWidth="1" min="10" max="10"/>
    <col width="10" customWidth="1" min="11" max="11"/>
    <col width="10" customWidth="1" min="12" max="12"/>
    <col width="12" customWidth="1" min="13" max="13"/>
    <col width="21" customWidth="1" min="14" max="14"/>
    <col width="30" customWidth="1" min="15" max="15"/>
    <col width="36" customWidth="1" min="16" max="16"/>
    <col width="40" customWidth="1" min="17" max="17"/>
    <col width="38" customWidth="1" min="18" max="18"/>
  </cols>
  <sheetData>
    <row r="1">
      <c r="A1" s="61" t="inlineStr">
        <is>
          <t>LPN</t>
        </is>
      </c>
      <c r="B1" s="61" t="inlineStr">
        <is>
          <t>PALLET</t>
        </is>
      </c>
      <c r="C1" s="61" t="inlineStr">
        <is>
          <t>STORE</t>
        </is>
      </c>
      <c r="D1" s="61" t="inlineStr">
        <is>
          <t>DIVISION</t>
        </is>
      </c>
      <c r="E1" s="61" t="inlineStr">
        <is>
          <t>FACILITY_NAME</t>
        </is>
      </c>
      <c r="F1" s="61" t="inlineStr">
        <is>
          <t>STORE_STATUS</t>
        </is>
      </c>
      <c r="G1" s="61" t="inlineStr">
        <is>
          <t>PICK_LOC</t>
        </is>
      </c>
      <c r="H1" s="61" t="inlineStr">
        <is>
          <t>UNITS</t>
        </is>
      </c>
      <c r="I1" s="61" t="inlineStr">
        <is>
          <t>LAST_UPDATE</t>
        </is>
      </c>
      <c r="J1" s="61" t="inlineStr">
        <is>
          <t>DAYS_SINCE_CLOSE</t>
        </is>
      </c>
      <c r="K1" s="61" t="inlineStr">
        <is>
          <t>LOCKS</t>
        </is>
      </c>
      <c r="L1" s="61" t="inlineStr">
        <is>
          <t>TOT_COST</t>
        </is>
      </c>
      <c r="M1" s="61" t="inlineStr">
        <is>
          <t>TOT_RETAIL</t>
        </is>
      </c>
      <c r="N1" s="61" t="inlineStr">
        <is>
          <t>LAST_PACKED</t>
        </is>
      </c>
      <c r="O1" s="61" t="inlineStr">
        <is>
          <t>AgeDays</t>
        </is>
      </c>
      <c r="P1" s="61" t="inlineStr">
        <is>
          <t>IsShipped</t>
        </is>
      </c>
      <c r="Q1" s="61" t="inlineStr">
        <is>
          <t>PackedStatus</t>
        </is>
      </c>
      <c r="R1" s="61" t="inlineStr">
        <is>
          <t>ActionFlag</t>
        </is>
      </c>
    </row>
    <row r="2">
      <c r="A2" t="inlineStr">
        <is>
          <t>LPN001</t>
        </is>
      </c>
      <c r="B2" t="inlineStr">
        <is>
          <t>PLT001</t>
        </is>
      </c>
      <c r="C2" t="inlineStr">
        <is>
          <t>STORE01</t>
        </is>
      </c>
      <c r="D2" t="inlineStr">
        <is>
          <t>DIV01</t>
        </is>
      </c>
      <c r="E2" t="inlineStr">
        <is>
          <t>FACILITY A</t>
        </is>
      </c>
      <c r="F2" t="inlineStr">
        <is>
          <t>OPEN</t>
        </is>
      </c>
      <c r="G2" t="inlineStr">
        <is>
          <t>LOC001</t>
        </is>
      </c>
      <c r="H2" t="n">
        <v>10</v>
      </c>
      <c r="I2" s="62" t="n">
        <v>46137.32682931781</v>
      </c>
      <c r="J2" t="n">
        <v>1</v>
      </c>
      <c r="K2" t="n">
        <v>0</v>
      </c>
      <c r="L2" t="n">
        <v>100</v>
      </c>
      <c r="M2" t="n">
        <v>150</v>
      </c>
      <c r="N2" s="62" t="n">
        <v>46136.41666666666</v>
      </c>
      <c r="O2">
        <f>TODAY()-INT([@LAST_PACKED])</f>
        <v/>
      </c>
      <c r="P2">
        <f>COUNTIF(tblShipped[LPN],[@LPN])&gt;0</f>
        <v/>
      </c>
      <c r="Q2">
        <f>IF([@IsShipped],"Shipped",IF([@AgeDays]&gt;2,"Overdue","Pending"))</f>
        <v/>
      </c>
      <c r="R2">
        <f>AND(NOT([@IsShipped]),[@AgeDays]&gt;2)</f>
        <v/>
      </c>
    </row>
  </sheetData>
  <conditionalFormatting sqref="Q2:Q10000">
    <cfRule type="containsText" priority="1" operator="containsText" dxfId="3" text="Overdue"/>
    <cfRule type="containsText" priority="2" operator="containsText" dxfId="4" text="Shipped"/>
    <cfRule type="containsText" priority="3" operator="containsText" dxfId="5" text="Pending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8" customWidth="1" min="3" max="3"/>
    <col width="10" customWidth="1" min="4" max="4"/>
    <col width="11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2" customWidth="1" min="12" max="12"/>
    <col width="14" customWidth="1" min="13" max="13"/>
    <col width="39" customWidth="1" min="14" max="14"/>
    <col width="26" customWidth="1" min="15" max="15"/>
    <col width="40" customWidth="1" min="16" max="16"/>
    <col width="40" customWidth="1" min="17" max="17"/>
  </cols>
  <sheetData>
    <row r="1">
      <c r="A1" s="61" t="inlineStr">
        <is>
          <t>CATEGORY</t>
        </is>
      </c>
      <c r="B1" s="61" t="inlineStr">
        <is>
          <t>DAYS_SINCE_AVAILABLE_FOR_CITY</t>
        </is>
      </c>
      <c r="C1" s="61" t="inlineStr">
        <is>
          <t>DATE_SCANNED_TO_CITY</t>
        </is>
      </c>
      <c r="D1" s="61" t="inlineStr">
        <is>
          <t>OLPN</t>
        </is>
      </c>
      <c r="E1" s="61" t="inlineStr">
        <is>
          <t>XREF_OLPN</t>
        </is>
      </c>
      <c r="F1" s="61" t="inlineStr">
        <is>
          <t>STORE_NUMBER</t>
        </is>
      </c>
      <c r="G1" s="61" t="inlineStr">
        <is>
          <t>STORE_NAME</t>
        </is>
      </c>
      <c r="H1" s="61" t="inlineStr">
        <is>
          <t>CARTON_LOCKS</t>
        </is>
      </c>
      <c r="I1" s="61" t="inlineStr">
        <is>
          <t>LPN_STATUS</t>
        </is>
      </c>
      <c r="J1" s="61" t="inlineStr">
        <is>
          <t>STORE_ACK_STATUS</t>
        </is>
      </c>
      <c r="K1" s="61" t="inlineStr">
        <is>
          <t>UNITS</t>
        </is>
      </c>
      <c r="L1" s="61" t="inlineStr">
        <is>
          <t>COST_VALUE</t>
        </is>
      </c>
      <c r="M1" s="61" t="inlineStr">
        <is>
          <t>RETAIL_VALUE</t>
        </is>
      </c>
      <c r="N1" s="61" t="inlineStr">
        <is>
          <t>CartonID</t>
        </is>
      </c>
      <c r="O1" s="61" t="inlineStr">
        <is>
          <t>IsAcknowledged</t>
        </is>
      </c>
      <c r="P1" s="61" t="inlineStr">
        <is>
          <t>IncludeInHRP</t>
        </is>
      </c>
      <c r="Q1" s="61" t="inlineStr">
        <is>
          <t>AgeBucket</t>
        </is>
      </c>
    </row>
    <row r="2">
      <c r="A2" t="inlineStr">
        <is>
          <t>HRP</t>
        </is>
      </c>
      <c r="B2" t="n">
        <v>0</v>
      </c>
      <c r="C2" s="62" t="n">
        <v>46137.32682934483</v>
      </c>
      <c r="D2" t="inlineStr">
        <is>
          <t>OLPN001</t>
        </is>
      </c>
      <c r="E2" t="inlineStr"/>
      <c r="F2" t="inlineStr">
        <is>
          <t>STORE01</t>
        </is>
      </c>
      <c r="G2" t="inlineStr">
        <is>
          <t>Store One</t>
        </is>
      </c>
      <c r="H2" t="n">
        <v>0</v>
      </c>
      <c r="I2" t="inlineStr">
        <is>
          <t>AVAILABLE</t>
        </is>
      </c>
      <c r="J2" t="inlineStr">
        <is>
          <t>N</t>
        </is>
      </c>
      <c r="K2" t="n">
        <v>5</v>
      </c>
      <c r="L2" t="n">
        <v>50</v>
      </c>
      <c r="M2" t="n">
        <v>75</v>
      </c>
      <c r="N2">
        <f>IF([@OLPN]&lt;&gt;"",[@OLPN],[@XREF_OLPN])</f>
        <v/>
      </c>
      <c r="O2">
        <f>[@STORE_ACK_STATUS]="Y"</f>
        <v/>
      </c>
      <c r="P2">
        <f>AND([@STORE_ACK_STATUS]="N",[@DAYS_SINCE_AVAILABLE_FOR_CITY]&lt;=1)</f>
        <v/>
      </c>
      <c r="Q2">
        <f>IF([@DAYS_SINCE_AVAILABLE_FOR_CITY]=0,"&lt;24h","24h+")</f>
        <v/>
      </c>
    </row>
  </sheetData>
  <conditionalFormatting sqref="P2:P10000">
    <cfRule type="cellIs" priority="1" operator="equal" dxfId="3">
      <formula>TRUE</formula>
    </cfRule>
  </conditionalFormatting>
  <dataValidations count="1">
    <dataValidation sqref="J2:J10000" showDropDown="0" showInputMessage="1" showErrorMessage="0" allowBlank="1" promptTitle="Ack Status" prompt="Enter Y or N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0" customWidth="1" min="5" max="5"/>
    <col width="40" customWidth="1" min="6" max="6"/>
  </cols>
  <sheetData>
    <row r="1">
      <c r="A1" s="61" t="inlineStr">
        <is>
          <t>BusinessDate</t>
        </is>
      </c>
      <c r="B1" s="61" t="inlineStr">
        <is>
          <t>ShiftName</t>
        </is>
      </c>
      <c r="C1" s="61" t="inlineStr">
        <is>
          <t>LPN</t>
        </is>
      </c>
      <c r="D1" s="61" t="inlineStr">
        <is>
          <t>EnteredBy</t>
        </is>
      </c>
      <c r="E1" s="61" t="inlineStr">
        <is>
          <t>Notes</t>
        </is>
      </c>
      <c r="F1" s="61" t="inlineStr">
        <is>
          <t>DupFlag</t>
        </is>
      </c>
    </row>
    <row r="2">
      <c r="A2" s="63" t="n">
        <v>46137</v>
      </c>
      <c r="B2" t="inlineStr">
        <is>
          <t>Day</t>
        </is>
      </c>
      <c r="C2" t="inlineStr">
        <is>
          <t>LPN001</t>
        </is>
      </c>
      <c r="D2" t="inlineStr">
        <is>
          <t>User1</t>
        </is>
      </c>
      <c r="E2" t="inlineStr"/>
      <c r="F2">
        <f>COUNTIFS([BusinessDate],[@BusinessDate],[ShiftName],[@ShiftName],[LPN],[@LPN])&gt;1</f>
        <v/>
      </c>
    </row>
  </sheetData>
  <conditionalFormatting sqref="F2:F10000">
    <cfRule type="cellIs" priority="1" operator="equal" dxfId="5">
      <formula>TRUE</formula>
    </cfRule>
  </conditionalFormatting>
  <dataValidations count="1">
    <dataValidation sqref="B2:B10000" showDropDown="0" showInputMessage="1" showErrorMessage="1" allowBlank="1" errorTitle="Invalid" error="Please select Day or Night" promptTitle="Shift" prompt="Select Day or Night" type="list">
      <formula1>"Day,Night"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6" customWidth="1" min="4" max="4"/>
  </cols>
  <sheetData>
    <row r="1">
      <c r="A1" s="61" t="inlineStr">
        <is>
          <t>BusinessDate</t>
        </is>
      </c>
      <c r="B1" s="61" t="inlineStr">
        <is>
          <t>ShiftName</t>
        </is>
      </c>
      <c r="C1" s="61" t="inlineStr">
        <is>
          <t>Area</t>
        </is>
      </c>
      <c r="D1" s="61" t="inlineStr">
        <is>
          <t>StaffAvailable</t>
        </is>
      </c>
    </row>
    <row r="2">
      <c r="A2" s="63" t="n">
        <v>46137</v>
      </c>
      <c r="B2" t="inlineStr">
        <is>
          <t>Day</t>
        </is>
      </c>
      <c r="C2" t="inlineStr">
        <is>
          <t>Dispatch sealing</t>
        </is>
      </c>
      <c r="D2" t="n">
        <v>5</v>
      </c>
    </row>
  </sheetData>
  <dataValidations count="2">
    <dataValidation sqref="B2:B10000" showDropDown="0" showInputMessage="1" showErrorMessage="1" allowBlank="1" errorTitle="Invalid" error="Please select Day or Night" promptTitle="Shift" prompt="Select Day or Night" type="list">
      <formula1>"Day,Night"</formula1>
    </dataValidation>
    <dataValidation sqref="C2:C10000" showDropDown="0" showInputMessage="0" showErrorMessage="0" allowBlank="1" type="list">
      <formula1>"Auditing,Manual handover,Dispatch sealing"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5" customWidth="1" min="3" max="3"/>
  </cols>
  <sheetData>
    <row r="1">
      <c r="A1" s="61" t="inlineStr">
        <is>
          <t>BusinessDate</t>
        </is>
      </c>
      <c r="B1" s="61" t="inlineStr">
        <is>
          <t>ShiftName</t>
        </is>
      </c>
      <c r="C1" s="61" t="inlineStr">
        <is>
          <t>TargetPerPersonPerShift</t>
        </is>
      </c>
    </row>
    <row r="2">
      <c r="A2" s="63" t="n">
        <v>46137</v>
      </c>
      <c r="B2" t="inlineStr">
        <is>
          <t>Day</t>
        </is>
      </c>
      <c r="C2" t="n">
        <v>50</v>
      </c>
    </row>
  </sheetData>
  <dataValidations count="1">
    <dataValidation sqref="B2:B10000" showDropDown="0" showInputMessage="1" showErrorMessage="1" allowBlank="1" errorTitle="Invalid" error="Please select Day or Night" promptTitle="Shift" prompt="Select Day or Night" type="list">
      <formula1>"Day,Night"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0" customWidth="1" min="3" max="3"/>
    <col width="40" customWidth="1" min="4" max="4"/>
    <col width="40" customWidth="1" min="5" max="5"/>
    <col width="35" customWidth="1" min="6" max="6"/>
    <col width="40" customWidth="1" min="7" max="7"/>
    <col width="40" customWidth="1" min="8" max="8"/>
  </cols>
  <sheetData>
    <row r="1">
      <c r="A1" s="61" t="inlineStr">
        <is>
          <t>BusinessDate</t>
        </is>
      </c>
      <c r="B1" s="61" t="inlineStr">
        <is>
          <t>ShiftName</t>
        </is>
      </c>
      <c r="C1" s="61" t="inlineStr">
        <is>
          <t>ShippedCartons</t>
        </is>
      </c>
      <c r="D1" s="61" t="inlineStr">
        <is>
          <t>TotalStaff</t>
        </is>
      </c>
      <c r="E1" s="61" t="inlineStr">
        <is>
          <t>TargetPerPerson</t>
        </is>
      </c>
      <c r="F1" s="61" t="inlineStr">
        <is>
          <t>ExpectedCartons</t>
        </is>
      </c>
      <c r="G1" s="61" t="inlineStr">
        <is>
          <t>PerformancePct</t>
        </is>
      </c>
      <c r="H1" s="61" t="inlineStr">
        <is>
          <t>RAG</t>
        </is>
      </c>
    </row>
    <row r="2">
      <c r="A2" s="63" t="n">
        <v>46137</v>
      </c>
      <c r="B2" t="inlineStr">
        <is>
          <t>Day</t>
        </is>
      </c>
      <c r="C2">
        <f>COUNTIFS(tblShipped[BusinessDate],[@BusinessDate],tblShipped[ShiftName],[@ShiftName])</f>
        <v/>
      </c>
      <c r="D2">
        <f>SUMIFS(tblStaffing[StaffAvailable],tblStaffing[BusinessDate],[@BusinessDate],tblStaffing[ShiftName],[@ShiftName])</f>
        <v/>
      </c>
      <c r="E2">
        <f>IFERROR(INDEX(tblTargetsDaily[TargetPerPersonPerShift],MATCH(1,(tblTargetsDaily[BusinessDate]=[@BusinessDate])*(tblTargetsDaily[ShiftName]=[@ShiftName]),0)),0)</f>
        <v/>
      </c>
      <c r="F2">
        <f>[@TotalStaff]*[@TargetPerPerson]</f>
        <v/>
      </c>
      <c r="G2" s="64">
        <f>IFERROR([@ShippedCartons]/[@ExpectedCartons],0)</f>
        <v/>
      </c>
      <c r="H2">
        <f>IF([@PerformancePct]&gt;=1,"Green",IF([@PerformancePct]&gt;=0.9,"Amber","Red"))</f>
        <v/>
      </c>
    </row>
  </sheetData>
  <conditionalFormatting sqref="H2:H10000">
    <cfRule type="containsText" priority="1" operator="containsText" dxfId="4" text="Green"/>
    <cfRule type="containsText" priority="2" operator="containsText" dxfId="5" text="Amber"/>
    <cfRule type="containsText" priority="3" operator="containsText" dxfId="6" text="Red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61" t="inlineStr">
        <is>
          <t>BusinessDate</t>
        </is>
      </c>
      <c r="B1" s="61" t="inlineStr">
        <is>
          <t>TotalShipped</t>
        </is>
      </c>
      <c r="C1" s="61" t="inlineStr">
        <is>
          <t>TotalStaff</t>
        </is>
      </c>
      <c r="D1" s="61" t="inlineStr">
        <is>
          <t>TotalExpected</t>
        </is>
      </c>
      <c r="E1" s="61" t="inlineStr">
        <is>
          <t>DailyPerformancePct</t>
        </is>
      </c>
    </row>
    <row r="2">
      <c r="A2" s="63" t="n">
        <v>46137</v>
      </c>
      <c r="B2">
        <f>SUMIF(tblDispatchKPI[BusinessDate],[@BusinessDate],tblDispatchKPI[ShippedCartons])</f>
        <v/>
      </c>
      <c r="C2">
        <f>SUMIF(tblDispatchKPI[BusinessDate],[@BusinessDate],tblDispatchKPI[TotalStaff])</f>
        <v/>
      </c>
      <c r="D2">
        <f>SUMIF(tblDispatchKPI[BusinessDate],[@BusinessDate],tblDispatchKPI[ExpectedCartons])</f>
        <v/>
      </c>
      <c r="E2" s="64">
        <f>IFERROR([@TotalShipped]/[@TotalExpected],0)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2" customWidth="1" min="4" max="4"/>
    <col width="31" customWidth="1" min="5" max="5"/>
    <col width="18" customWidth="1" min="6" max="6"/>
    <col width="10" customWidth="1" min="7" max="7"/>
    <col width="12" customWidth="1" min="8" max="8"/>
    <col width="10" customWidth="1" min="9" max="9"/>
    <col width="15" customWidth="1" min="10" max="10"/>
    <col width="13" customWidth="1" min="11" max="11"/>
    <col width="10" customWidth="1" min="12" max="12"/>
  </cols>
  <sheetData>
    <row r="1">
      <c r="A1" s="65" t="inlineStr">
        <is>
          <t>CATEGORY</t>
        </is>
      </c>
      <c r="B1" s="65" t="inlineStr">
        <is>
          <t>CartonID</t>
        </is>
      </c>
      <c r="C1" s="65" t="inlineStr">
        <is>
          <t>STORE_NUMBER</t>
        </is>
      </c>
      <c r="D1" s="65" t="inlineStr">
        <is>
          <t>STORE_NAME</t>
        </is>
      </c>
      <c r="E1" s="65" t="inlineStr">
        <is>
          <t>DAYS_SINCE_AVAILABLE_FOR_CITY</t>
        </is>
      </c>
      <c r="F1" s="65" t="inlineStr">
        <is>
          <t>STORE_ACK_STATUS</t>
        </is>
      </c>
      <c r="G1" s="65" t="inlineStr">
        <is>
          <t>UNITS</t>
        </is>
      </c>
      <c r="H1" s="65" t="inlineStr">
        <is>
          <t>COST_VALUE</t>
        </is>
      </c>
      <c r="I1" s="65" t="inlineStr">
        <is>
          <t>Owner</t>
        </is>
      </c>
      <c r="J1" s="65" t="inlineStr">
        <is>
          <t>ContactedCity</t>
        </is>
      </c>
      <c r="K1" s="65" t="inlineStr">
        <is>
          <t>ContactTime</t>
        </is>
      </c>
      <c r="L1" s="65" t="inlineStr">
        <is>
          <t>NextStep</t>
        </is>
      </c>
    </row>
    <row r="2">
      <c r="A2" s="66" t="inlineStr">
        <is>
          <t>-- Populate via 'POPULATE ACTION SHEETS' button on DASHBOARD --</t>
        </is>
      </c>
    </row>
  </sheetData>
  <dataValidations count="1">
    <dataValidation sqref="J2:J10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2" customWidth="1" min="7" max="7"/>
    <col width="10" customWidth="1" min="8" max="8"/>
    <col width="17" customWidth="1" min="9" max="9"/>
  </cols>
  <sheetData>
    <row r="1">
      <c r="A1" s="65" t="inlineStr">
        <is>
          <t>LPN</t>
        </is>
      </c>
      <c r="B1" s="65" t="inlineStr">
        <is>
          <t>STORE</t>
        </is>
      </c>
      <c r="C1" s="65" t="inlineStr">
        <is>
          <t>DIVISION</t>
        </is>
      </c>
      <c r="D1" s="65" t="inlineStr">
        <is>
          <t>AgeDays</t>
        </is>
      </c>
      <c r="E1" s="65" t="inlineStr">
        <is>
          <t>PackedStatus</t>
        </is>
      </c>
      <c r="F1" s="65" t="inlineStr">
        <is>
          <t>UNITS</t>
        </is>
      </c>
      <c r="G1" s="65" t="inlineStr">
        <is>
          <t>HoldReason</t>
        </is>
      </c>
      <c r="H1" s="65" t="inlineStr">
        <is>
          <t>Owner</t>
        </is>
      </c>
      <c r="I1" s="65" t="inlineStr">
        <is>
          <t>PlannedShipTime</t>
        </is>
      </c>
    </row>
    <row r="2">
      <c r="A2" s="66" t="inlineStr">
        <is>
          <t>-- Populate via 'POPULATE ACTION SHEETS' button on DASHBOARD --</t>
        </is>
      </c>
    </row>
  </sheetData>
  <conditionalFormatting sqref="E2:E10000">
    <cfRule type="containsText" priority="1" operator="containsText" dxfId="3" text="Overdue"/>
    <cfRule type="containsText" priority="2" operator="containsText" dxfId="5" text="Pending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1" customWidth="1" min="3" max="3"/>
    <col width="16" customWidth="1" min="4" max="4"/>
    <col width="12" customWidth="1" min="5" max="5"/>
    <col width="17" customWidth="1" min="6" max="6"/>
    <col width="16" customWidth="1" min="7" max="7"/>
    <col width="10" customWidth="1" min="8" max="8"/>
    <col width="15" customWidth="1" min="9" max="9"/>
    <col width="21" customWidth="1" min="10" max="10"/>
  </cols>
  <sheetData>
    <row r="1">
      <c r="A1" s="61" t="inlineStr">
        <is>
          <t>SnapshotTimestamp</t>
        </is>
      </c>
      <c r="B1" s="61" t="inlineStr">
        <is>
          <t>BusinessDate</t>
        </is>
      </c>
      <c r="C1" s="61" t="inlineStr">
        <is>
          <t>ShiftName</t>
        </is>
      </c>
      <c r="D1" s="61" t="inlineStr">
        <is>
          <t>ShippedCartons</t>
        </is>
      </c>
      <c r="E1" s="61" t="inlineStr">
        <is>
          <t>TotalStaff</t>
        </is>
      </c>
      <c r="F1" s="61" t="inlineStr">
        <is>
          <t>ExpectedCartons</t>
        </is>
      </c>
      <c r="G1" s="61" t="inlineStr">
        <is>
          <t>PerformancePct</t>
        </is>
      </c>
      <c r="H1" s="61" t="inlineStr">
        <is>
          <t>RAG</t>
        </is>
      </c>
      <c r="I1" s="61" t="inlineStr">
        <is>
          <t>HRP_OpenCount</t>
        </is>
      </c>
      <c r="J1" s="61" t="inlineStr">
        <is>
          <t>Packed_OverdueCount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7" customWidth="1" min="4" max="4"/>
  </cols>
  <sheetData>
    <row r="1">
      <c r="A1" s="67" t="inlineStr">
        <is>
          <t>DATA QUALITY CHECKS</t>
        </is>
      </c>
    </row>
    <row r="2"/>
    <row r="3">
      <c r="A3" s="61" t="inlineStr">
        <is>
          <t>Check</t>
        </is>
      </c>
      <c r="B3" s="61" t="inlineStr">
        <is>
          <t>Formula / Logic</t>
        </is>
      </c>
      <c r="C3" s="61" t="inlineStr">
        <is>
          <t>Result</t>
        </is>
      </c>
      <c r="D3" s="61" t="inlineStr">
        <is>
          <t>Status</t>
        </is>
      </c>
    </row>
    <row r="4">
      <c r="A4" s="68" t="inlineStr">
        <is>
          <t>Missing CartonID in HRP</t>
        </is>
      </c>
      <c r="B4" s="68" t="inlineStr">
        <is>
          <t>'=COUNTIFS(tblHRP[CartonID],"")</t>
        </is>
      </c>
      <c r="C4" s="68">
        <f>COUNTIFS(tblHRP[CartonID],"")</f>
        <v/>
      </c>
      <c r="D4" s="68">
        <f>IF(C4=0,"OK","WARNING")</f>
        <v/>
      </c>
    </row>
    <row r="5">
      <c r="A5" s="68" t="inlineStr">
        <is>
          <t>Future dates in IN_PACKED (LAST_PACKED)</t>
        </is>
      </c>
      <c r="B5" s="68" t="inlineStr">
        <is>
          <t>'=COUNTIF(tblPacked[LAST_PACKED],"&gt;"&amp;TODAY())</t>
        </is>
      </c>
      <c r="C5" s="68">
        <f>COUNTIF(tblPacked[LAST_PACKED],"&gt;"&amp;TODAY())</f>
        <v/>
      </c>
      <c r="D5" s="68">
        <f>IF(C5=0,"OK","WARNING")</f>
        <v/>
      </c>
    </row>
    <row r="6">
      <c r="A6" s="68" t="inlineStr">
        <is>
          <t>Future dates in IN_SHIPPED_LPNS (BusinessDate)</t>
        </is>
      </c>
      <c r="B6" s="68" t="inlineStr">
        <is>
          <t>'=COUNTIF(tblShipped[BusinessDate],"&gt;"&amp;TODAY())</t>
        </is>
      </c>
      <c r="C6" s="68">
        <f>COUNTIF(tblShipped[BusinessDate],"&gt;"&amp;TODAY())</f>
        <v/>
      </c>
      <c r="D6" s="68">
        <f>IF(C6=0,"OK","WARNING")</f>
        <v/>
      </c>
    </row>
    <row r="7">
      <c r="A7" s="68" t="inlineStr">
        <is>
          <t>Duplicate LPNs in Shipped list</t>
        </is>
      </c>
      <c r="B7" s="68" t="inlineStr">
        <is>
          <t>'=COUNTIF(tblShipped[DupFlag],TRUE)</t>
        </is>
      </c>
      <c r="C7" s="68">
        <f>COUNTIF(tblShipped[DupFlag],TRUE)</f>
        <v/>
      </c>
      <c r="D7" s="68">
        <f>IF(C7=0,"OK","WARNING")</f>
        <v/>
      </c>
    </row>
    <row r="8">
      <c r="A8" s="68" t="inlineStr">
        <is>
          <t>StaffAvailable = 0 rows in Staffing</t>
        </is>
      </c>
      <c r="B8" s="68" t="inlineStr">
        <is>
          <t>'=COUNTIF(tblStaffing[StaffAvailable],0)</t>
        </is>
      </c>
      <c r="C8" s="68">
        <f>COUNTIF(tblStaffing[StaffAvailable],0)</f>
        <v/>
      </c>
      <c r="D8" s="68">
        <f>IF(C8=0,"OK","WARNING")</f>
        <v/>
      </c>
    </row>
    <row r="9">
      <c r="A9" s="68" t="inlineStr">
        <is>
          <t>Invalid ShiftName in Shipped (not Day/Night)</t>
        </is>
      </c>
      <c r="B9" s="68" t="inlineStr">
        <is>
          <t>'=SUMPRODUCT((tblShipped[ShiftName]&lt;&gt;"Day")*(tblShipped[ShiftName]&lt;&gt;"Night")*(tblShipped[ShiftName]&lt;&gt;""))</t>
        </is>
      </c>
      <c r="C9" s="68">
        <f>SUMPRODUCT((tblShipped[ShiftName]&lt;&gt;"Day")*(tblShipped[ShiftName]&lt;&gt;"Night")*(tblShipped[ShiftName]&lt;&gt;""))</f>
        <v/>
      </c>
      <c r="D9" s="68">
        <f>IF(C9=0,"OK","WARNING")</f>
        <v/>
      </c>
    </row>
    <row r="10">
      <c r="A10" s="68" t="inlineStr">
        <is>
          <t>Invalid ShiftName in Staffing</t>
        </is>
      </c>
      <c r="B10" s="68" t="inlineStr">
        <is>
          <t>'=SUMPRODUCT((tblStaffing[ShiftName]&lt;&gt;"Day")*(tblStaffing[ShiftName]&lt;&gt;"Night")*(tblStaffing[ShiftName]&lt;&gt;""))</t>
        </is>
      </c>
      <c r="C10" s="68">
        <f>SUMPRODUCT((tblStaffing[ShiftName]&lt;&gt;"Day")*(tblStaffing[ShiftName]&lt;&gt;"Night")*(tblStaffing[ShiftName]&lt;&gt;""))</f>
        <v/>
      </c>
      <c r="D10" s="68">
        <f>IF(C10=0,"OK","WARNING")</f>
        <v/>
      </c>
    </row>
    <row r="11">
      <c r="A11" s="68" t="inlineStr">
        <is>
          <t>HRP rows with IncludeInHRP=TRUE (open action items)</t>
        </is>
      </c>
      <c r="B11" s="68" t="inlineStr">
        <is>
          <t>'=COUNTIF(tblHRP[IncludeInHRP],TRUE)</t>
        </is>
      </c>
      <c r="C11" s="68">
        <f>COUNTIF(tblHRP[IncludeInHRP],TRUE)</f>
        <v/>
      </c>
      <c r="D11" s="68">
        <f>IF(C11=0,"OK","WARNING")</f>
        <v/>
      </c>
    </row>
    <row r="12">
      <c r="A12" s="68" t="inlineStr">
        <is>
          <t>Packed items where ActionFlag=TRUE (overdue)</t>
        </is>
      </c>
      <c r="B12" s="68" t="inlineStr">
        <is>
          <t>'=COUNTIF(tblPacked[ActionFlag],TRUE)</t>
        </is>
      </c>
      <c r="C12" s="68">
        <f>COUNTIF(tblPacked[ActionFlag],TRUE)</f>
        <v/>
      </c>
      <c r="D12" s="68">
        <f>IF(C12=0,"OK","WARNING")</f>
        <v/>
      </c>
    </row>
  </sheetData>
  <conditionalFormatting sqref="D4">
    <cfRule type="containsText" priority="1" operator="containsText" dxfId="7" text="WARNING"/>
    <cfRule type="containsText" priority="2" operator="containsText" dxfId="4" text="OK"/>
  </conditionalFormatting>
  <conditionalFormatting sqref="D5">
    <cfRule type="containsText" priority="3" operator="containsText" dxfId="7" text="WARNING"/>
    <cfRule type="containsText" priority="4" operator="containsText" dxfId="4" text="OK"/>
  </conditionalFormatting>
  <conditionalFormatting sqref="D6">
    <cfRule type="containsText" priority="5" operator="containsText" dxfId="7" text="WARNING"/>
    <cfRule type="containsText" priority="6" operator="containsText" dxfId="4" text="OK"/>
  </conditionalFormatting>
  <conditionalFormatting sqref="D7">
    <cfRule type="containsText" priority="7" operator="containsText" dxfId="7" text="WARNING"/>
    <cfRule type="containsText" priority="8" operator="containsText" dxfId="4" text="OK"/>
  </conditionalFormatting>
  <conditionalFormatting sqref="D8">
    <cfRule type="containsText" priority="9" operator="containsText" dxfId="7" text="WARNING"/>
    <cfRule type="containsText" priority="10" operator="containsText" dxfId="4" text="OK"/>
  </conditionalFormatting>
  <conditionalFormatting sqref="D9">
    <cfRule type="containsText" priority="11" operator="containsText" dxfId="7" text="WARNING"/>
    <cfRule type="containsText" priority="12" operator="containsText" dxfId="4" text="OK"/>
  </conditionalFormatting>
  <conditionalFormatting sqref="D10">
    <cfRule type="containsText" priority="13" operator="containsText" dxfId="7" text="WARNING"/>
    <cfRule type="containsText" priority="14" operator="containsText" dxfId="4" text="OK"/>
  </conditionalFormatting>
  <conditionalFormatting sqref="D11">
    <cfRule type="containsText" priority="15" operator="containsText" dxfId="7" text="WARNING"/>
    <cfRule type="containsText" priority="16" operator="containsText" dxfId="4" text="OK"/>
  </conditionalFormatting>
  <conditionalFormatting sqref="D12">
    <cfRule type="containsText" priority="17" operator="containsText" dxfId="7" text="WARNING"/>
    <cfRule type="containsText" priority="18" operator="containsText" dxfId="4" text="OK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2026-04-25T07:50:38Z</dcterms:created>
  <dcterms:modified xsi:type="dcterms:W3CDTF">2026-04-25T07:50:38Z</dcterms:modified>
</cp:coreProperties>
</file>