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worksheets/sheet5.xml" ContentType="application/vnd.openxmlformats-officedocument.spreadsheetml.worksheet+xml"/>
  <Override PartName="/xl/tables/table4.xml" ContentType="application/vnd.openxmlformats-officedocument.spreadsheetml.table+xml"/>
  <Override PartName="/xl/worksheets/sheet6.xml" ContentType="application/vnd.openxmlformats-officedocument.spreadsheetml.worksheet+xml"/>
  <Override PartName="/xl/tables/table5.xml" ContentType="application/vnd.openxmlformats-officedocument.spreadsheetml.table+xml"/>
  <Override PartName="/xl/worksheets/sheet7.xml" ContentType="application/vnd.openxmlformats-officedocument.spreadsheetml.worksheet+xml"/>
  <Override PartName="/xl/tables/table6.xml" ContentType="application/vnd.openxmlformats-officedocument.spreadsheetml.table+xml"/>
  <Override PartName="/xl/worksheets/sheet8.xml" ContentType="application/vnd.openxmlformats-officedocument.spreadsheetml.worksheet+xml"/>
  <Override PartName="/xl/tables/table7.xml" ContentType="application/vnd.openxmlformats-officedocument.spreadsheetml.table+xml"/>
  <Override PartName="/xl/worksheets/sheet9.xml" ContentType="application/vnd.openxmlformats-officedocument.spreadsheetml.worksheet+xml"/>
  <Override PartName="/xl/tables/table8.xml" ContentType="application/vnd.openxmlformats-officedocument.spreadsheetml.table+xml"/>
  <Override PartName="/xl/worksheets/sheet10.xml" ContentType="application/vnd.openxmlformats-officedocument.spreadsheetml.worksheet+xml"/>
  <Override PartName="/xl/tables/table9.xml" ContentType="application/vnd.openxmlformats-officedocument.spreadsheetml.table+xml"/>
  <Override PartName="/xl/worksheets/sheet11.xml" ContentType="application/vnd.openxmlformats-officedocument.spreadsheetml.worksheet+xml"/>
  <Override PartName="/xl/tables/table10.xml" ContentType="application/vnd.openxmlformats-officedocument.spreadsheetml.table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ables/table12.xml" ContentType="application/vnd.openxmlformats-officedocument.spreadsheetml.table+xml"/>
  <Override PartName="/xl/worksheets/sheet1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DAILY_ENTRY" sheetId="2" state="visible" r:id="rId2"/>
    <sheet name="CHARTS" sheetId="3" state="visible" r:id="rId3"/>
    <sheet name="CONFIG" sheetId="4" state="visible" r:id="rId4"/>
    <sheet name="IN_PACKED" sheetId="5" state="visible" r:id="rId5"/>
    <sheet name="IN_HRP" sheetId="6" state="visible" r:id="rId6"/>
    <sheet name="IN_SHIPPED_LPNS" sheetId="7" state="visible" r:id="rId7"/>
    <sheet name="IN_STAFFING" sheetId="8" state="visible" r:id="rId8"/>
    <sheet name="IN_TARGETS_DAILY" sheetId="9" state="visible" r:id="rId9"/>
    <sheet name="IN_AUDIT_LOG" sheetId="10" state="visible" r:id="rId10"/>
    <sheet name="T_DISPATCH_KPI" sheetId="11" state="visible" r:id="rId11"/>
    <sheet name="T_DISPATCH_DAILY" sheetId="12" state="visible" r:id="rId12"/>
    <sheet name="ACTION_HRP" sheetId="13" state="visible" r:id="rId13"/>
    <sheet name="ACTION_PACKED" sheetId="14" state="visible" r:id="rId14"/>
    <sheet name="HISTORY" sheetId="15" state="visible" r:id="rId15"/>
    <sheet name="DATA_QUALITY" sheetId="16" state="visible" r:id="rId16"/>
  </sheets>
  <definedNames/>
  <calcPr calcId="124519" fullCalcOnLoad="1"/>
</workbook>
</file>

<file path=xl/styles.xml><?xml version="1.0" encoding="utf-8"?>
<styleSheet xmlns="http://schemas.openxmlformats.org/spreadsheetml/2006/main">
  <numFmts count="4">
    <numFmt numFmtId="164" formatCode="yyyy-mm-dd h:mm:ss"/>
    <numFmt numFmtId="165" formatCode="yyyy-mm-dd"/>
    <numFmt numFmtId="166" formatCode="0.0%"/>
    <numFmt numFmtId="167" formatCode="dd/mm/yyyy"/>
  </numFmts>
  <fonts count="42">
    <font>
      <name val="Calibri"/>
      <family val="2"/>
      <color theme="1"/>
      <sz val="11"/>
      <scheme val="minor"/>
    </font>
    <font>
      <b val="1"/>
      <color rgb="00FF0000"/>
      <sz val="12"/>
    </font>
    <font>
      <b val="1"/>
    </font>
    <font>
      <b val="1"/>
      <color rgb="FFFFFFFF"/>
      <sz val="11"/>
    </font>
    <font>
      <i val="1"/>
      <color rgb="00808080"/>
    </font>
    <font>
      <b val="1"/>
      <color rgb="00191970"/>
      <sz val="14"/>
    </font>
    <font>
      <b val="1"/>
      <color rgb="00FFFFFF"/>
      <sz val="16"/>
    </font>
    <font>
      <i val="1"/>
      <color rgb="00FFA500"/>
      <sz val="9"/>
    </font>
    <font>
      <b val="1"/>
      <sz val="11"/>
    </font>
    <font>
      <b val="1"/>
      <color rgb="00191970"/>
      <sz val="13"/>
    </font>
    <font>
      <i val="1"/>
      <color rgb="00808080"/>
      <sz val="8"/>
    </font>
    <font>
      <b val="1"/>
      <color rgb="00FFFFFF"/>
      <sz val="11"/>
    </font>
    <font>
      <b val="1"/>
      <color rgb="00FFFFFF"/>
      <sz val="10"/>
    </font>
    <font>
      <b val="1"/>
      <sz val="12"/>
    </font>
    <font>
      <color rgb="00191970"/>
      <sz val="12"/>
    </font>
    <font>
      <b val="1"/>
      <color rgb="00191970"/>
      <sz val="10"/>
    </font>
    <font>
      <i val="1"/>
      <color rgb="00666666"/>
      <sz val="8"/>
    </font>
    <font>
      <b val="1"/>
      <color rgb="FF004646"/>
      <sz val="9"/>
      <u val="single"/>
    </font>
    <font>
      <b val="1"/>
      <color rgb="00191970"/>
      <sz val="12"/>
    </font>
    <font>
      <color rgb="00333333"/>
    </font>
    <font>
      <b val="1"/>
      <color rgb="00FFFFFF"/>
      <sz val="18"/>
    </font>
    <font>
      <b val="1"/>
      <color rgb="00666666"/>
      <sz val="9"/>
    </font>
    <font>
      <b val="1"/>
      <color rgb="000070C0"/>
      <sz val="9"/>
    </font>
    <font>
      <i val="1"/>
      <color rgb="00666666"/>
      <sz val="9"/>
    </font>
    <font>
      <b val="1"/>
      <color rgb="00FFFFFF"/>
      <sz val="9"/>
    </font>
    <font>
      <b val="1"/>
      <color rgb="00FF0000"/>
      <sz val="24"/>
    </font>
    <font>
      <b val="1"/>
      <color rgb="000070C0"/>
      <sz val="24"/>
    </font>
    <font>
      <b val="1"/>
      <color rgb="00FFA500"/>
      <sz val="24"/>
    </font>
    <font>
      <b val="1"/>
      <color rgb="0050C878"/>
      <sz val="24"/>
    </font>
    <font>
      <color rgb="00333333"/>
      <sz val="9"/>
    </font>
    <font>
      <b val="1"/>
      <color rgb="0070AD47"/>
      <sz val="24"/>
    </font>
    <font>
      <b val="1"/>
      <color rgb="FF004EA8"/>
      <sz val="8"/>
      <u val="single"/>
    </font>
    <font>
      <b val="1"/>
      <color rgb="FF006400"/>
      <sz val="8"/>
      <u val="single"/>
    </font>
    <font>
      <b val="1"/>
      <color rgb="FF375623"/>
      <sz val="8"/>
      <u val="single"/>
    </font>
    <font>
      <b val="1"/>
      <color rgb="FF8B6914"/>
      <sz val="8"/>
      <u val="single"/>
    </font>
    <font>
      <b val="1"/>
      <color rgb="FF595959"/>
      <sz val="8"/>
      <u val="single"/>
    </font>
    <font>
      <b val="1"/>
      <color rgb="FF0070C0"/>
      <sz val="8"/>
      <u val="single"/>
    </font>
    <font>
      <b val="1"/>
      <color rgb="FF8B0000"/>
      <sz val="8"/>
      <u val="single"/>
    </font>
    <font>
      <i val="1"/>
      <color rgb="00FFA500"/>
      <sz val="8"/>
    </font>
    <font>
      <b val="1"/>
      <color rgb="00191970"/>
      <sz val="9"/>
    </font>
    <font>
      <b val="1"/>
      <color rgb="004682B4"/>
      <sz val="24"/>
    </font>
    <font>
      <b val="1"/>
      <color rgb="00703090"/>
      <sz val="24"/>
    </font>
  </fonts>
  <fills count="21">
    <fill>
      <patternFill/>
    </fill>
    <fill>
      <patternFill patternType="gray125"/>
    </fill>
    <fill>
      <patternFill patternType="solid">
        <fgColor rgb="FF191970"/>
      </patternFill>
    </fill>
    <fill>
      <patternFill patternType="solid">
        <fgColor rgb="FFC00000"/>
      </patternFill>
    </fill>
    <fill>
      <patternFill patternType="solid">
        <fgColor rgb="FFF2F2F2"/>
      </patternFill>
    </fill>
    <fill>
      <patternFill patternType="solid">
        <fgColor rgb="FFFFF4CC"/>
      </patternFill>
    </fill>
    <fill>
      <patternFill patternType="solid">
        <fgColor rgb="FFFFFFFF"/>
      </patternFill>
    </fill>
    <fill>
      <patternFill patternType="solid">
        <fgColor rgb="FF2E4057"/>
      </patternFill>
    </fill>
    <fill>
      <patternFill patternType="solid">
        <fgColor rgb="FF0070C0"/>
      </patternFill>
    </fill>
    <fill>
      <patternFill patternType="solid">
        <fgColor rgb="FFF7F7F7"/>
      </patternFill>
    </fill>
    <fill>
      <patternFill patternType="solid">
        <fgColor rgb="FFC8E6C9"/>
      </patternFill>
    </fill>
    <fill>
      <patternFill patternType="solid">
        <fgColor rgb="FFFFEBEE"/>
      </patternFill>
    </fill>
    <fill>
      <patternFill patternType="solid">
        <fgColor rgb="FFECF0F7"/>
      </patternFill>
    </fill>
    <fill>
      <patternFill patternType="solid">
        <fgColor rgb="FFFF0000"/>
      </patternFill>
    </fill>
    <fill>
      <patternFill patternType="solid">
        <fgColor rgb="FFFFA500"/>
      </patternFill>
    </fill>
    <fill>
      <patternFill patternType="solid">
        <fgColor rgb="FF50C878"/>
      </patternFill>
    </fill>
    <fill>
      <patternFill patternType="solid">
        <fgColor rgb="FF70AD47"/>
      </patternFill>
    </fill>
    <fill>
      <patternFill patternType="solid">
        <fgColor rgb="FF4472C4"/>
      </patternFill>
    </fill>
    <fill>
      <patternFill patternType="solid">
        <fgColor rgb="FF595959"/>
      </patternFill>
    </fill>
    <fill>
      <patternFill patternType="solid">
        <fgColor rgb="FF4682B4"/>
      </patternFill>
    </fill>
    <fill>
      <patternFill patternType="solid">
        <fgColor rgb="FF703090"/>
      </patternFill>
    </fill>
  </fills>
  <borders count="60">
    <border>
      <left/>
      <right/>
      <top/>
      <bottom/>
      <diagonal/>
    </border>
    <border>
      <left style="thin"/>
      <right style="thin"/>
      <top style="thin"/>
      <bottom style="thin"/>
    </border>
    <border>
      <left style="thin">
        <color rgb="000070C0"/>
      </left>
      <right style="thin">
        <color rgb="000070C0"/>
      </right>
      <top style="thin">
        <color rgb="000070C0"/>
      </top>
      <bottom style="thin">
        <color rgb="000070C0"/>
      </bottom>
    </border>
    <border>
      <left style="thin">
        <color rgb="00C00000"/>
      </left>
      <right style="thin">
        <color rgb="00C00000"/>
      </right>
      <top style="thin">
        <color rgb="00C00000"/>
      </top>
      <bottom style="thin">
        <color rgb="00C00000"/>
      </bottom>
    </border>
    <border>
      <left style="thin">
        <color rgb="00FF0000"/>
      </left>
      <top style="thin">
        <color rgb="00FF0000"/>
      </top>
    </border>
    <border>
      <top style="thin">
        <color rgb="00FF0000"/>
      </top>
    </border>
    <border>
      <right style="thin">
        <color rgb="00FF0000"/>
      </right>
      <top style="thin">
        <color rgb="00FF0000"/>
      </top>
    </border>
    <border>
      <left style="thin">
        <color rgb="00FF0000"/>
      </left>
    </border>
    <border>
      <right style="thin">
        <color rgb="00FF0000"/>
      </right>
    </border>
    <border>
      <left style="thin">
        <color rgb="00FF0000"/>
      </left>
      <bottom style="thin">
        <color rgb="00FF0000"/>
      </bottom>
    </border>
    <border>
      <bottom style="thin">
        <color rgb="00FF0000"/>
      </bottom>
    </border>
    <border>
      <right style="thin">
        <color rgb="00FF0000"/>
      </right>
      <bottom style="thin">
        <color rgb="00FF0000"/>
      </bottom>
    </border>
    <border>
      <left style="thin">
        <color rgb="000070C0"/>
      </left>
      <top style="thin">
        <color rgb="000070C0"/>
      </top>
    </border>
    <border>
      <top style="thin">
        <color rgb="000070C0"/>
      </top>
    </border>
    <border>
      <right style="thin">
        <color rgb="000070C0"/>
      </right>
      <top style="thin">
        <color rgb="000070C0"/>
      </top>
    </border>
    <border>
      <left style="thin">
        <color rgb="000070C0"/>
      </left>
    </border>
    <border>
      <right style="thin">
        <color rgb="000070C0"/>
      </right>
    </border>
    <border>
      <left style="thin">
        <color rgb="000070C0"/>
      </left>
      <bottom style="thin">
        <color rgb="000070C0"/>
      </bottom>
    </border>
    <border>
      <bottom style="thin">
        <color rgb="000070C0"/>
      </bottom>
    </border>
    <border>
      <right style="thin">
        <color rgb="000070C0"/>
      </right>
      <bottom style="thin">
        <color rgb="000070C0"/>
      </bottom>
    </border>
    <border>
      <left style="thin">
        <color rgb="00FFA500"/>
      </left>
      <top style="thin">
        <color rgb="00FFA500"/>
      </top>
    </border>
    <border>
      <top style="thin">
        <color rgb="00FFA500"/>
      </top>
    </border>
    <border>
      <right style="thin">
        <color rgb="00FFA500"/>
      </right>
      <top style="thin">
        <color rgb="00FFA500"/>
      </top>
    </border>
    <border>
      <left style="thin">
        <color rgb="00FFA500"/>
      </left>
    </border>
    <border>
      <right style="thin">
        <color rgb="00FFA500"/>
      </right>
    </border>
    <border>
      <left style="thin">
        <color rgb="00FFA500"/>
      </left>
      <bottom style="thin">
        <color rgb="00FFA500"/>
      </bottom>
    </border>
    <border>
      <bottom style="thin">
        <color rgb="00FFA500"/>
      </bottom>
    </border>
    <border>
      <right style="thin">
        <color rgb="00FFA500"/>
      </right>
      <bottom style="thin">
        <color rgb="00FFA500"/>
      </bottom>
    </border>
    <border>
      <left style="thin">
        <color rgb="0050C878"/>
      </left>
      <top style="thin">
        <color rgb="0050C878"/>
      </top>
    </border>
    <border>
      <top style="thin">
        <color rgb="0050C878"/>
      </top>
    </border>
    <border>
      <right style="thin">
        <color rgb="0050C878"/>
      </right>
      <top style="thin">
        <color rgb="0050C878"/>
      </top>
    </border>
    <border>
      <left style="thin">
        <color rgb="0050C878"/>
      </left>
    </border>
    <border>
      <right style="thin">
        <color rgb="0050C878"/>
      </right>
    </border>
    <border>
      <left style="thin">
        <color rgb="0050C878"/>
      </left>
      <bottom style="thin">
        <color rgb="0050C878"/>
      </bottom>
    </border>
    <border>
      <bottom style="thin">
        <color rgb="0050C878"/>
      </bottom>
    </border>
    <border>
      <right style="thin">
        <color rgb="0050C878"/>
      </right>
      <bottom style="thin">
        <color rgb="0050C878"/>
      </bottom>
    </border>
    <border>
      <left style="thin">
        <color rgb="0070AD47"/>
      </left>
      <top style="thin">
        <color rgb="0070AD47"/>
      </top>
    </border>
    <border>
      <top style="thin">
        <color rgb="0070AD47"/>
      </top>
    </border>
    <border>
      <right style="thin">
        <color rgb="0070AD47"/>
      </right>
      <top style="thin">
        <color rgb="0070AD47"/>
      </top>
    </border>
    <border>
      <left style="thin">
        <color rgb="0070AD47"/>
      </left>
    </border>
    <border>
      <right style="thin">
        <color rgb="0070AD47"/>
      </right>
    </border>
    <border>
      <left style="thin">
        <color rgb="0070AD47"/>
      </left>
      <bottom style="thin">
        <color rgb="0070AD47"/>
      </bottom>
    </border>
    <border>
      <bottom style="thin">
        <color rgb="0070AD47"/>
      </bottom>
    </border>
    <border>
      <right style="thin">
        <color rgb="0070AD47"/>
      </right>
      <bottom style="thin">
        <color rgb="0070AD47"/>
      </bottom>
    </border>
    <border>
      <left style="thin">
        <color rgb="004682B4"/>
      </left>
      <top style="thin">
        <color rgb="004682B4"/>
      </top>
    </border>
    <border>
      <top style="thin">
        <color rgb="004682B4"/>
      </top>
    </border>
    <border>
      <right style="thin">
        <color rgb="004682B4"/>
      </right>
      <top style="thin">
        <color rgb="004682B4"/>
      </top>
    </border>
    <border>
      <left style="thin">
        <color rgb="004682B4"/>
      </left>
    </border>
    <border>
      <right style="thin">
        <color rgb="004682B4"/>
      </right>
    </border>
    <border>
      <left style="thin">
        <color rgb="004682B4"/>
      </left>
      <bottom style="thin">
        <color rgb="004682B4"/>
      </bottom>
    </border>
    <border>
      <bottom style="thin">
        <color rgb="004682B4"/>
      </bottom>
    </border>
    <border>
      <right style="thin">
        <color rgb="004682B4"/>
      </right>
      <bottom style="thin">
        <color rgb="004682B4"/>
      </bottom>
    </border>
    <border>
      <left style="thin">
        <color rgb="00703090"/>
      </left>
      <top style="thin">
        <color rgb="00703090"/>
      </top>
    </border>
    <border>
      <top style="thin">
        <color rgb="00703090"/>
      </top>
    </border>
    <border>
      <right style="thin">
        <color rgb="00703090"/>
      </right>
      <top style="thin">
        <color rgb="00703090"/>
      </top>
    </border>
    <border>
      <left style="thin">
        <color rgb="00703090"/>
      </left>
    </border>
    <border>
      <right style="thin">
        <color rgb="00703090"/>
      </right>
    </border>
    <border>
      <left style="thin">
        <color rgb="00703090"/>
      </left>
      <bottom style="thin">
        <color rgb="00703090"/>
      </bottom>
    </border>
    <border>
      <bottom style="thin">
        <color rgb="00703090"/>
      </bottom>
    </border>
    <border>
      <right style="thin">
        <color rgb="00703090"/>
      </right>
      <bottom style="thin">
        <color rgb="00703090"/>
      </bottom>
    </border>
  </borders>
  <cellStyleXfs count="1">
    <xf numFmtId="0" fontId="0" fillId="0" borderId="0"/>
  </cellStyleXfs>
  <cellXfs count="123">
    <xf numFmtId="0" fontId="0" fillId="0" borderId="0" pivotButton="0" quotePrefix="0" xfId="0"/>
    <xf numFmtId="0" fontId="20" fillId="2" borderId="0" applyAlignment="1" pivotButton="0" quotePrefix="0" xfId="0">
      <alignment horizontal="center" vertical="center"/>
    </xf>
    <xf numFmtId="0" fontId="21" fillId="12" borderId="0" applyAlignment="1" pivotButton="0" quotePrefix="0" xfId="0">
      <alignment horizontal="right" vertical="center"/>
    </xf>
    <xf numFmtId="0" fontId="22" fillId="12" borderId="0" applyAlignment="1" pivotButton="0" quotePrefix="0" xfId="0">
      <alignment horizontal="left" vertical="center"/>
    </xf>
    <xf numFmtId="0" fontId="23" fillId="12" borderId="0" applyAlignment="1" pivotButton="0" quotePrefix="0" xfId="0">
      <alignment horizontal="right" vertical="center"/>
    </xf>
    <xf numFmtId="0" fontId="19" fillId="4" borderId="0" pivotButton="0" quotePrefix="0" xfId="0"/>
    <xf numFmtId="0" fontId="11" fillId="7" borderId="0" applyAlignment="1" pivotButton="0" quotePrefix="0" xfId="0">
      <alignment horizontal="left" vertical="center"/>
    </xf>
    <xf numFmtId="0" fontId="24" fillId="13" borderId="4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24" fillId="8" borderId="12" applyAlignment="1" pivotButton="0" quotePrefix="0" xfId="0">
      <alignment horizontal="center" vertical="center"/>
    </xf>
    <xf numFmtId="0" fontId="0" fillId="0" borderId="13" pivotButton="0" quotePrefix="0" xfId="0"/>
    <xf numFmtId="0" fontId="0" fillId="0" borderId="14" pivotButton="0" quotePrefix="0" xfId="0"/>
    <xf numFmtId="0" fontId="25" fillId="6" borderId="7" applyAlignment="1" pivotButton="0" quotePrefix="0" xfId="0">
      <alignment horizontal="center" vertical="center"/>
    </xf>
    <xf numFmtId="0" fontId="0" fillId="0" borderId="8" pivotButton="0" quotePrefix="0" xfId="0"/>
    <xf numFmtId="0" fontId="26" fillId="6" borderId="15" applyAlignment="1" pivotButton="0" quotePrefix="0" xfId="0">
      <alignment horizontal="center" vertical="center"/>
    </xf>
    <xf numFmtId="0" fontId="0" fillId="0" borderId="16" pivotButton="0" quotePrefix="0" xfId="0"/>
    <xf numFmtId="0" fontId="0" fillId="0" borderId="7" pivotButton="0" quotePrefix="0" xfId="0"/>
    <xf numFmtId="0" fontId="0" fillId="0" borderId="15" pivotButton="0" quotePrefix="0" xfId="0"/>
    <xf numFmtId="0" fontId="0" fillId="0" borderId="9" pivotButton="0" quotePrefix="0" xfId="0"/>
    <xf numFmtId="0" fontId="0" fillId="0" borderId="10" pivotButton="0" quotePrefix="0" xfId="0"/>
    <xf numFmtId="0" fontId="0" fillId="0" borderId="11" pivotButton="0" quotePrefix="0" xfId="0"/>
    <xf numFmtId="0" fontId="0" fillId="0" borderId="17" pivotButton="0" quotePrefix="0" xfId="0"/>
    <xf numFmtId="0" fontId="0" fillId="0" borderId="18" pivotButton="0" quotePrefix="0" xfId="0"/>
    <xf numFmtId="0" fontId="0" fillId="0" borderId="19" pivotButton="0" quotePrefix="0" xfId="0"/>
    <xf numFmtId="0" fontId="24" fillId="14" borderId="20" applyAlignment="1" pivotButton="0" quotePrefix="0" xfId="0">
      <alignment horizontal="center" vertical="center"/>
    </xf>
    <xf numFmtId="0" fontId="0" fillId="0" borderId="21" pivotButton="0" quotePrefix="0" xfId="0"/>
    <xf numFmtId="0" fontId="0" fillId="0" borderId="22" pivotButton="0" quotePrefix="0" xfId="0"/>
    <xf numFmtId="0" fontId="24" fillId="15" borderId="28" applyAlignment="1" pivotButton="0" quotePrefix="0" xfId="0">
      <alignment horizontal="center" vertical="center"/>
    </xf>
    <xf numFmtId="0" fontId="0" fillId="0" borderId="29" pivotButton="0" quotePrefix="0" xfId="0"/>
    <xf numFmtId="0" fontId="0" fillId="0" borderId="30" pivotButton="0" quotePrefix="0" xfId="0"/>
    <xf numFmtId="0" fontId="27" fillId="6" borderId="23" applyAlignment="1" pivotButton="0" quotePrefix="0" xfId="0">
      <alignment horizontal="center" vertical="center"/>
    </xf>
    <xf numFmtId="0" fontId="0" fillId="0" borderId="24" pivotButton="0" quotePrefix="0" xfId="0"/>
    <xf numFmtId="0" fontId="28" fillId="6" borderId="31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23" pivotButton="0" quotePrefix="0" xfId="0"/>
    <xf numFmtId="0" fontId="0" fillId="0" borderId="31" pivotButton="0" quotePrefix="0" xfId="0"/>
    <xf numFmtId="0" fontId="0" fillId="0" borderId="25" pivotButton="0" quotePrefix="0" xfId="0"/>
    <xf numFmtId="0" fontId="0" fillId="0" borderId="26" pivotButton="0" quotePrefix="0" xfId="0"/>
    <xf numFmtId="0" fontId="0" fillId="0" borderId="27" pivotButton="0" quotePrefix="0" xfId="0"/>
    <xf numFmtId="0" fontId="0" fillId="0" borderId="33" pivotButton="0" quotePrefix="0" xfId="0"/>
    <xf numFmtId="0" fontId="0" fillId="0" borderId="34" pivotButton="0" quotePrefix="0" xfId="0"/>
    <xf numFmtId="0" fontId="0" fillId="0" borderId="35" pivotButton="0" quotePrefix="0" xfId="0"/>
    <xf numFmtId="0" fontId="24" fillId="8" borderId="1" applyAlignment="1" pivotButton="0" quotePrefix="0" xfId="0">
      <alignment horizontal="center" vertical="center"/>
    </xf>
    <xf numFmtId="0" fontId="29" fillId="6" borderId="1" applyAlignment="1" pivotButton="0" quotePrefix="0" xfId="0">
      <alignment horizontal="center" vertical="center"/>
    </xf>
    <xf numFmtId="0" fontId="29" fillId="9" borderId="1" applyAlignment="1" pivotButton="0" quotePrefix="0" xfId="0">
      <alignment horizontal="center" vertical="center"/>
    </xf>
    <xf numFmtId="0" fontId="11" fillId="16" borderId="0" applyAlignment="1" pivotButton="0" quotePrefix="0" xfId="0">
      <alignment horizontal="left" vertical="center"/>
    </xf>
    <xf numFmtId="0" fontId="24" fillId="16" borderId="36" applyAlignment="1" pivotButton="0" quotePrefix="0" xfId="0">
      <alignment horizontal="center" vertical="center"/>
    </xf>
    <xf numFmtId="0" fontId="0" fillId="0" borderId="37" pivotButton="0" quotePrefix="0" xfId="0"/>
    <xf numFmtId="0" fontId="0" fillId="0" borderId="38" pivotButton="0" quotePrefix="0" xfId="0"/>
    <xf numFmtId="0" fontId="30" fillId="6" borderId="39" applyAlignment="1" pivotButton="0" quotePrefix="0" xfId="0">
      <alignment horizontal="center" vertical="center"/>
    </xf>
    <xf numFmtId="0" fontId="0" fillId="0" borderId="40" pivotButton="0" quotePrefix="0" xfId="0"/>
    <xf numFmtId="0" fontId="0" fillId="0" borderId="39" pivotButton="0" quotePrefix="0" xfId="0"/>
    <xf numFmtId="0" fontId="0" fillId="0" borderId="41" pivotButton="0" quotePrefix="0" xfId="0"/>
    <xf numFmtId="0" fontId="0" fillId="0" borderId="42" pivotButton="0" quotePrefix="0" xfId="0"/>
    <xf numFmtId="0" fontId="0" fillId="0" borderId="43" pivotButton="0" quotePrefix="0" xfId="0"/>
    <xf numFmtId="0" fontId="11" fillId="17" borderId="0" applyAlignment="1" pivotButton="0" quotePrefix="0" xfId="0">
      <alignment horizontal="left" vertical="center"/>
    </xf>
    <xf numFmtId="0" fontId="24" fillId="15" borderId="1" applyAlignment="1" pivotButton="0" quotePrefix="0" xfId="0">
      <alignment horizontal="center" vertical="center"/>
    </xf>
    <xf numFmtId="0" fontId="24" fillId="14" borderId="1" applyAlignment="1" pivotButton="0" quotePrefix="0" xfId="0">
      <alignment horizontal="center" vertical="center"/>
    </xf>
    <xf numFmtId="0" fontId="24" fillId="13" borderId="1" applyAlignment="1" pivotButton="0" quotePrefix="0" xfId="0">
      <alignment horizontal="center" vertical="center"/>
    </xf>
    <xf numFmtId="0" fontId="16" fillId="4" borderId="0" applyAlignment="1" pivotButton="0" quotePrefix="0" xfId="0">
      <alignment horizontal="center" vertical="center"/>
    </xf>
    <xf numFmtId="0" fontId="11" fillId="18" borderId="0" applyAlignment="1" pivotButton="0" quotePrefix="0" xfId="0">
      <alignment horizontal="left" vertical="center"/>
    </xf>
    <xf numFmtId="0" fontId="31" fillId="6" borderId="1" applyAlignment="1" pivotButton="0" quotePrefix="0" xfId="0">
      <alignment horizontal="center" vertical="center"/>
    </xf>
    <xf numFmtId="0" fontId="32" fillId="6" borderId="1" applyAlignment="1" pivotButton="0" quotePrefix="0" xfId="0">
      <alignment horizontal="center" vertical="center"/>
    </xf>
    <xf numFmtId="0" fontId="33" fillId="6" borderId="1" applyAlignment="1" pivotButton="0" quotePrefix="0" xfId="0">
      <alignment horizontal="center" vertical="center"/>
    </xf>
    <xf numFmtId="0" fontId="34" fillId="6" borderId="1" applyAlignment="1" pivotButton="0" quotePrefix="0" xfId="0">
      <alignment horizontal="center" vertical="center"/>
    </xf>
    <xf numFmtId="0" fontId="35" fillId="6" borderId="1" applyAlignment="1" pivotButton="0" quotePrefix="0" xfId="0">
      <alignment horizontal="center" vertical="center"/>
    </xf>
    <xf numFmtId="0" fontId="36" fillId="6" borderId="1" applyAlignment="1" pivotButton="0" quotePrefix="0" xfId="0">
      <alignment horizontal="center" vertical="center"/>
    </xf>
    <xf numFmtId="0" fontId="37" fillId="6" borderId="1" applyAlignment="1" pivotButton="0" quotePrefix="0" xfId="0">
      <alignment horizontal="center" vertical="center"/>
    </xf>
    <xf numFmtId="0" fontId="11" fillId="2" borderId="0" applyAlignment="1" pivotButton="0" quotePrefix="0" xfId="0">
      <alignment horizontal="left" vertical="center"/>
    </xf>
    <xf numFmtId="0" fontId="38" fillId="5" borderId="0" applyAlignment="1" pivotButton="0" quotePrefix="0" xfId="0">
      <alignment horizontal="left" vertical="center" wrapText="1"/>
    </xf>
    <xf numFmtId="0" fontId="39" fillId="5" borderId="1" applyAlignment="1" pivotButton="0" quotePrefix="0" xfId="0">
      <alignment horizontal="center" vertical="center"/>
    </xf>
    <xf numFmtId="0" fontId="16" fillId="4" borderId="0" applyAlignment="1" pivotButton="0" quotePrefix="0" xfId="0">
      <alignment horizontal="center" vertical="center" wrapText="1"/>
    </xf>
    <xf numFmtId="0" fontId="39" fillId="10" borderId="1" applyAlignment="1" pivotButton="0" quotePrefix="0" xfId="0">
      <alignment horizontal="center" vertical="center"/>
    </xf>
    <xf numFmtId="0" fontId="11" fillId="19" borderId="0" applyAlignment="1" pivotButton="0" quotePrefix="0" xfId="0">
      <alignment horizontal="left" vertical="center"/>
    </xf>
    <xf numFmtId="0" fontId="24" fillId="19" borderId="44" applyAlignment="1" pivotButton="0" quotePrefix="0" xfId="0">
      <alignment horizontal="center" vertical="center"/>
    </xf>
    <xf numFmtId="0" fontId="0" fillId="0" borderId="45" pivotButton="0" quotePrefix="0" xfId="0"/>
    <xf numFmtId="0" fontId="0" fillId="0" borderId="46" pivotButton="0" quotePrefix="0" xfId="0"/>
    <xf numFmtId="0" fontId="40" fillId="6" borderId="47" applyAlignment="1" pivotButton="0" quotePrefix="0" xfId="0">
      <alignment horizontal="center" vertical="center"/>
    </xf>
    <xf numFmtId="0" fontId="0" fillId="0" borderId="48" pivotButton="0" quotePrefix="0" xfId="0"/>
    <xf numFmtId="0" fontId="0" fillId="0" borderId="47" pivotButton="0" quotePrefix="0" xfId="0"/>
    <xf numFmtId="0" fontId="0" fillId="0" borderId="49" pivotButton="0" quotePrefix="0" xfId="0"/>
    <xf numFmtId="0" fontId="0" fillId="0" borderId="50" pivotButton="0" quotePrefix="0" xfId="0"/>
    <xf numFmtId="0" fontId="0" fillId="0" borderId="51" pivotButton="0" quotePrefix="0" xfId="0"/>
    <xf numFmtId="0" fontId="11" fillId="20" borderId="0" applyAlignment="1" pivotButton="0" quotePrefix="0" xfId="0">
      <alignment horizontal="left" vertical="center"/>
    </xf>
    <xf numFmtId="0" fontId="24" fillId="20" borderId="52" applyAlignment="1" pivotButton="0" quotePrefix="0" xfId="0">
      <alignment horizontal="center" vertical="center"/>
    </xf>
    <xf numFmtId="0" fontId="0" fillId="0" borderId="53" pivotButton="0" quotePrefix="0" xfId="0"/>
    <xf numFmtId="0" fontId="0" fillId="0" borderId="54" pivotButton="0" quotePrefix="0" xfId="0"/>
    <xf numFmtId="0" fontId="41" fillId="6" borderId="55" applyAlignment="1" pivotButton="0" quotePrefix="0" xfId="0">
      <alignment horizontal="center" vertical="center"/>
    </xf>
    <xf numFmtId="0" fontId="0" fillId="0" borderId="56" pivotButton="0" quotePrefix="0" xfId="0"/>
    <xf numFmtId="0" fontId="0" fillId="0" borderId="55" pivotButton="0" quotePrefix="0" xfId="0"/>
    <xf numFmtId="0" fontId="0" fillId="0" borderId="57" pivotButton="0" quotePrefix="0" xfId="0"/>
    <xf numFmtId="0" fontId="0" fillId="0" borderId="58" pivotButton="0" quotePrefix="0" xfId="0"/>
    <xf numFmtId="0" fontId="0" fillId="0" borderId="59" pivotButton="0" quotePrefix="0" xfId="0"/>
    <xf numFmtId="0" fontId="6" fillId="2" borderId="0" applyAlignment="1" pivotButton="0" quotePrefix="0" xfId="0">
      <alignment horizontal="center" vertical="center"/>
    </xf>
    <xf numFmtId="0" fontId="7" fillId="5" borderId="0" applyAlignment="1" pivotButton="0" quotePrefix="0" xfId="0">
      <alignment horizontal="center" vertical="center" wrapText="1"/>
    </xf>
    <xf numFmtId="0" fontId="0" fillId="4" borderId="0" pivotButton="0" quotePrefix="0" xfId="0"/>
    <xf numFmtId="0" fontId="8" fillId="4" borderId="0" applyAlignment="1" pivotButton="0" quotePrefix="0" xfId="0">
      <alignment horizontal="right" vertical="center"/>
    </xf>
    <xf numFmtId="167" fontId="9" fillId="6" borderId="2" applyAlignment="1" pivotButton="0" quotePrefix="0" xfId="0">
      <alignment horizontal="center" vertical="center"/>
    </xf>
    <xf numFmtId="0" fontId="10" fillId="4" borderId="0" applyAlignment="1" pivotButton="0" quotePrefix="0" xfId="0">
      <alignment vertical="center"/>
    </xf>
    <xf numFmtId="0" fontId="12" fillId="8" borderId="1" applyAlignment="1" pivotButton="0" quotePrefix="0" xfId="0">
      <alignment horizontal="center" vertical="center"/>
    </xf>
    <xf numFmtId="0" fontId="13" fillId="6" borderId="2" applyAlignment="1" pivotButton="0" quotePrefix="0" xfId="0">
      <alignment horizontal="center" vertical="center"/>
    </xf>
    <xf numFmtId="0" fontId="14" fillId="6" borderId="2" applyAlignment="1" pivotButton="0" quotePrefix="0" xfId="0">
      <alignment horizontal="center" vertical="center"/>
    </xf>
    <xf numFmtId="0" fontId="13" fillId="9" borderId="2" applyAlignment="1" pivotButton="0" quotePrefix="0" xfId="0">
      <alignment horizontal="center" vertical="center"/>
    </xf>
    <xf numFmtId="0" fontId="14" fillId="9" borderId="2" applyAlignment="1" pivotButton="0" quotePrefix="0" xfId="0">
      <alignment horizontal="center" vertical="center"/>
    </xf>
    <xf numFmtId="0" fontId="11" fillId="3" borderId="0" applyAlignment="1" pivotButton="0" quotePrefix="0" xfId="0">
      <alignment horizontal="left" vertical="center"/>
    </xf>
    <xf numFmtId="0" fontId="2" fillId="4" borderId="0" applyAlignment="1" pivotButton="0" quotePrefix="0" xfId="0">
      <alignment horizontal="right" vertical="center"/>
    </xf>
    <xf numFmtId="0" fontId="0" fillId="6" borderId="3" applyAlignment="1" pivotButton="0" quotePrefix="0" xfId="0">
      <alignment horizontal="center" vertical="center"/>
    </xf>
    <xf numFmtId="0" fontId="15" fillId="10" borderId="1" applyAlignment="1" pivotButton="0" quotePrefix="0" xfId="0">
      <alignment horizontal="center" vertical="center"/>
    </xf>
    <xf numFmtId="0" fontId="15" fillId="11" borderId="1" applyAlignment="1" pivotButton="0" quotePrefix="0" xfId="0">
      <alignment horizontal="center" vertical="center"/>
    </xf>
    <xf numFmtId="0" fontId="16" fillId="4" borderId="0" applyAlignment="1" pivotButton="0" quotePrefix="0" xfId="0">
      <alignment horizontal="center"/>
    </xf>
    <xf numFmtId="0" fontId="17" fillId="4" borderId="0" pivotButton="0" quotePrefix="0" xfId="0"/>
    <xf numFmtId="0" fontId="18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0" applyAlignment="1" pivotButton="0" quotePrefix="0" xfId="0">
      <alignment horizontal="center" vertical="center"/>
    </xf>
    <xf numFmtId="164" fontId="0" fillId="0" borderId="0" pivotButton="0" quotePrefix="0" xfId="0"/>
    <xf numFmtId="165" fontId="0" fillId="0" borderId="0" pivotButton="0" quotePrefix="0" xfId="0"/>
    <xf numFmtId="166" fontId="0" fillId="0" borderId="0" pivotButton="0" quotePrefix="0" xfId="0"/>
    <xf numFmtId="0" fontId="3" fillId="3" borderId="0" applyAlignment="1" pivotButton="0" quotePrefix="0" xfId="0">
      <alignment horizontal="center"/>
    </xf>
    <xf numFmtId="0" fontId="4" fillId="0" borderId="0" pivotButton="0" quotePrefix="0" xfId="0"/>
    <xf numFmtId="0" fontId="5" fillId="0" borderId="0" pivotButton="0" quotePrefix="0" xfId="0"/>
    <xf numFmtId="0" fontId="0" fillId="0" borderId="1" pivotButton="0" quotePrefix="0" xfId="0"/>
  </cellXfs>
  <cellStyles count="1">
    <cellStyle name="Normal" xfId="0" builtinId="0" hidden="0"/>
  </cellStyles>
  <dxfs count="8">
    <dxf>
      <font>
        <color rgb="00FFFFFF"/>
      </font>
      <fill>
        <patternFill patternType="solid">
          <fgColor rgb="FF50C878"/>
        </patternFill>
      </fill>
    </dxf>
    <dxf>
      <font>
        <color rgb="00333333"/>
      </font>
      <fill>
        <patternFill patternType="solid">
          <fgColor rgb="FFFFA500"/>
        </patternFill>
      </fill>
    </dxf>
    <dxf>
      <font>
        <b val="1"/>
        <color rgb="00FFFFFF"/>
      </font>
      <fill>
        <patternFill patternType="solid">
          <fgColor rgb="FFFF0000"/>
        </patternFill>
      </fill>
    </dxf>
    <dxf>
      <font>
        <color rgb="00FFFFFF"/>
      </font>
      <fill>
        <patternFill patternType="solid">
          <fgColor rgb="FFFF0000"/>
        </patternFill>
      </fill>
    </dxf>
    <dxf>
      <fill>
        <patternFill patternType="solid">
          <fgColor rgb="FF50C878"/>
        </patternFill>
      </fill>
    </dxf>
    <dxf>
      <fill>
        <patternFill patternType="solid">
          <fgColor rgb="FFFFA500"/>
        </patternFill>
      </fill>
    </dxf>
    <dxf>
      <fill>
        <patternFill patternType="solid">
          <fgColor rgb="FFFF0000"/>
        </patternFill>
      </fill>
    </dxf>
    <dxf>
      <font>
        <b val="1"/>
      </font>
      <fill>
        <patternFill patternType="solid">
          <fgColor rgb="FFFFA5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styles" Target="styles.xml" Id="rId17" /><Relationship Type="http://schemas.openxmlformats.org/officeDocument/2006/relationships/theme" Target="theme/theme1.xml" Id="rId18" /><Relationship Type="http://schemas.microsoft.com/office/2006/relationships/vbaProject" Target="vbaProject.bin" Id="rId19" 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Daily Dispatch Performance % Trend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'T_DISPATCH_DAILY'!E1</f>
            </strRef>
          </tx>
          <spPr>
            <a:ln w="20000">
              <a:solidFill>
                <a:srgbClr val="0070C0"/>
              </a:solidFill>
              <a:prstDash val="solid"/>
            </a:ln>
          </spPr>
          <marker>
            <symbol val="circle"/>
            <size val="5"/>
            <spPr>
              <a:ln>
                <a:prstDash val="solid"/>
              </a:ln>
            </spPr>
          </marker>
          <cat>
            <numRef>
              <f>'T_DISPATCH_DAILY'!$A$2:$A$1000000</f>
            </numRef>
          </cat>
          <val>
            <numRef>
              <f>'T_DISPATCH_DAILY'!$E$2:$E$1000000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Business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Performance %</a:t>
                </a:r>
              </a:p>
            </rich>
          </tx>
        </title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Shipped vs Expected Cartons per Shift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'T_DISPATCH_KPI'!C1</f>
            </strRef>
          </tx>
          <spPr>
            <a:solidFill>
              <a:srgbClr val="0070C0"/>
            </a:solidFill>
            <a:ln>
              <a:prstDash val="solid"/>
            </a:ln>
          </spPr>
          <cat>
            <numRef>
              <f>'T_DISPATCH_KPI'!$B$2:$B$1000000</f>
            </numRef>
          </cat>
          <val>
            <numRef>
              <f>'T_DISPATCH_KPI'!$C$2:$C$1000000</f>
            </numRef>
          </val>
        </ser>
        <ser>
          <idx val="1"/>
          <order val="1"/>
          <tx>
            <strRef>
              <f>'T_DISPATCH_KPI'!F1</f>
            </strRef>
          </tx>
          <spPr>
            <a:solidFill>
              <a:srgbClr val="50C878"/>
            </a:solidFill>
            <a:ln>
              <a:prstDash val="solid"/>
            </a:ln>
          </spPr>
          <cat>
            <numRef>
              <f>'T_DISPATCH_KPI'!$B$2:$B$1000000</f>
            </numRef>
          </cat>
          <val>
            <numRef>
              <f>'T_DISPATCH_KPI'!$F$2:$F$1000000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Shift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Cartons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HRP Open Items &amp; Packed Overdue — Historical Trend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'HISTORY'!I1</f>
            </strRef>
          </tx>
          <spPr>
            <a:solidFill>
              <a:srgbClr val="FF0000"/>
            </a:solidFill>
            <a:ln>
              <a:prstDash val="solid"/>
            </a:ln>
          </spPr>
          <cat>
            <numRef>
              <f>'HISTORY'!$B$2:$B$1000000</f>
            </numRef>
          </cat>
          <val>
            <numRef>
              <f>'HISTORY'!$I$2:$I$1000000</f>
            </numRef>
          </val>
        </ser>
        <ser>
          <idx val="1"/>
          <order val="1"/>
          <tx>
            <strRef>
              <f>'HISTORY'!J1</f>
            </strRef>
          </tx>
          <spPr>
            <a:solidFill>
              <a:srgbClr val="FFA500"/>
            </a:solidFill>
            <a:ln>
              <a:prstDash val="solid"/>
            </a:ln>
          </spPr>
          <cat>
            <numRef>
              <f>'HISTORY'!$B$2:$B$1000000</f>
            </numRef>
          </cat>
          <val>
            <numRef>
              <f>'HISTORY'!$J$2:$J$1000000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Snapshot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Count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Daily Staff Count Trend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'T_DISPATCH_DAILY'!C1</f>
            </strRef>
          </tx>
          <spPr>
            <a:ln w="20000">
              <a:solidFill>
                <a:srgbClr val="50C878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cat>
            <numRef>
              <f>'T_DISPATCH_DAILY'!$A$2:$A$1000000</f>
            </numRef>
          </cat>
          <val>
            <numRef>
              <f>'T_DISPATCH_DAILY'!$C$2:$C$1000000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Business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Staff Count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Audit Compliance % per Shift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'T_DISPATCH_KPI'!K1</f>
            </strRef>
          </tx>
          <spPr>
            <a:ln w="20000">
              <a:solidFill>
                <a:srgbClr val="70AD47"/>
              </a:solidFill>
              <a:prstDash val="solid"/>
            </a:ln>
          </spPr>
          <marker>
            <symbol val="diamond"/>
            <size val="5"/>
            <spPr>
              <a:ln>
                <a:prstDash val="solid"/>
              </a:ln>
            </spPr>
          </marker>
          <cat>
            <numRef>
              <f>'T_DISPATCH_KPI'!$B$2:$B$1000000</f>
            </numRef>
          </cat>
          <val>
            <numRef>
              <f>'T_DISPATCH_KPI'!$K$2:$K$1000000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Shift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Audit %</a:t>
                </a:r>
              </a:p>
            </rich>
          </tx>
        </title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2</row>
      <rowOff>0</rowOff>
    </from>
    <ext cx="8640000" cy="50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12</col>
      <colOff>0</colOff>
      <row>2</row>
      <rowOff>0</rowOff>
    </from>
    <ext cx="8640000" cy="50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0</col>
      <colOff>0</colOff>
      <row>32</row>
      <rowOff>0</rowOff>
    </from>
    <ext cx="8640000" cy="50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12</col>
      <colOff>0</colOff>
      <row>32</row>
      <rowOff>0</rowOff>
    </from>
    <ext cx="8640000" cy="504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  <oneCellAnchor>
    <from>
      <col>0</col>
      <colOff>0</colOff>
      <row>62</row>
      <rowOff>0</rowOff>
    </from>
    <ext cx="8640000" cy="5040000"/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oneCellAnchor>
</wsDr>
</file>

<file path=xl/tables/table1.xml><?xml version="1.0" encoding="utf-8"?>
<table xmlns="http://schemas.openxmlformats.org/spreadsheetml/2006/main" id="1" name="tblConfig_Shifts" displayName="tblConfig_Shifts" ref="A4:D6" headerRowCount="1">
  <autoFilter ref="A4:D6"/>
  <tableColumns count="4">
    <tableColumn id="1" name="ShiftName"/>
    <tableColumn id="2" name="StartTime"/>
    <tableColumn id="3" name="EndTime"/>
    <tableColumn id="4" name="DaysPerWee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Config_Rules" displayName="tblConfig_Rules" ref="A10:C15" headerRowCount="1">
  <autoFilter ref="A10:C15"/>
  <tableColumns count="3">
    <tableColumn id="1" name="RuleName"/>
    <tableColumn id="2" name="Value"/>
    <tableColumn id="3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Config_Areas" displayName="tblConfig_Areas" ref="E4:E7" headerRowCount="1">
  <autoFilter ref="E4:E7"/>
  <tableColumns count="1">
    <tableColumn id="5" name="AreaNam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Packed" displayName="tblPacked" ref="A1:R2" headerRowCount="1">
  <autoFilter ref="A1:R2"/>
  <tableColumns count="18">
    <tableColumn id="1" name="LPN"/>
    <tableColumn id="2" name="PALLET"/>
    <tableColumn id="3" name="STORE"/>
    <tableColumn id="4" name="DIVISION"/>
    <tableColumn id="5" name="FACILITY_NAME"/>
    <tableColumn id="6" name="STORE_STATUS"/>
    <tableColumn id="7" name="PICK_LOC"/>
    <tableColumn id="8" name="UNITS"/>
    <tableColumn id="9" name="LAST_UPDATE"/>
    <tableColumn id="10" name="DAYS_SINCE_CLOSE"/>
    <tableColumn id="11" name="LOCKS"/>
    <tableColumn id="12" name="TOT_COST"/>
    <tableColumn id="13" name="TOT_RETAIL"/>
    <tableColumn id="14" name="LAST_PACKED"/>
    <tableColumn id="15" name="AgeDays"/>
    <tableColumn id="16" name="IsShipped"/>
    <tableColumn id="17" name="PackedStatus"/>
    <tableColumn id="18" name="ActionFlag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id="5" name="tblHRP" displayName="tblHRP" ref="A1:Q2" headerRowCount="1">
  <autoFilter ref="A1:Q2"/>
  <tableColumns count="17">
    <tableColumn id="1" name="CATEGORY"/>
    <tableColumn id="2" name="DAYS_SINCE_AVAILABLE_FOR_CITY"/>
    <tableColumn id="3" name="DATE_SCANNED_TO_CITY"/>
    <tableColumn id="4" name="OLPN"/>
    <tableColumn id="5" name="XREF_OLPN"/>
    <tableColumn id="6" name="STORE_NUMBER"/>
    <tableColumn id="7" name="STORE_NAME"/>
    <tableColumn id="8" name="CARTON_LOCKS"/>
    <tableColumn id="9" name="LPN_STATUS"/>
    <tableColumn id="10" name="STORE_ACK_STATUS"/>
    <tableColumn id="11" name="UNITS"/>
    <tableColumn id="12" name="COST_VALUE"/>
    <tableColumn id="13" name="RETAIL_VALUE"/>
    <tableColumn id="14" name="CartonID"/>
    <tableColumn id="15" name="IsAcknowledged"/>
    <tableColumn id="16" name="IncludeInHRP"/>
    <tableColumn id="17" name="AgeBucket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6" name="tblShipped" displayName="tblShipped" ref="A1:F2" headerRowCount="1">
  <autoFilter ref="A1:F2"/>
  <tableColumns count="6">
    <tableColumn id="1" name="BusinessDate"/>
    <tableColumn id="2" name="ShiftName"/>
    <tableColumn id="3" name="LPN"/>
    <tableColumn id="4" name="EnteredBy"/>
    <tableColumn id="5" name="Notes"/>
    <tableColumn id="6" name="DupFlag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tblStaffing" displayName="tblStaffing" ref="A1:D2" headerRowCount="1">
  <autoFilter ref="A1:D2"/>
  <tableColumns count="4">
    <tableColumn id="1" name="BusinessDate"/>
    <tableColumn id="2" name="ShiftName"/>
    <tableColumn id="3" name="Area"/>
    <tableColumn id="4" name="StaffAvailable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id="8" name="tblTargetsDaily" displayName="tblTargetsDaily" ref="A1:C2" headerRowCount="1">
  <autoFilter ref="A1:C2"/>
  <tableColumns count="3">
    <tableColumn id="1" name="BusinessDate"/>
    <tableColumn id="2" name="ShiftName"/>
    <tableColumn id="3" name="TargetPerPersonPerShift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id="9" name="tblAuditLog" displayName="tblAuditLog" ref="A1:E2" headerRowCount="1">
  <autoFilter ref="A1:E2"/>
  <tableColumns count="5">
    <tableColumn id="1" name="BusinessDate"/>
    <tableColumn id="2" name="ShiftName"/>
    <tableColumn id="3" name="Area"/>
    <tableColumn id="4" name="AuditCount"/>
    <tableColumn id="5" name="Notes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id="10" name="tblDispatchKPI" displayName="tblDispatchKPI" ref="A1:M2" headerRowCount="1">
  <autoFilter ref="A1:M2"/>
  <tableColumns count="13">
    <tableColumn id="1" name="BusinessDate"/>
    <tableColumn id="2" name="ShiftName"/>
    <tableColumn id="3" name="ShippedCartons"/>
    <tableColumn id="4" name="TotalStaff"/>
    <tableColumn id="5" name="TargetPerPerson"/>
    <tableColumn id="6" name="ExpectedCartons"/>
    <tableColumn id="7" name="PerformancePct"/>
    <tableColumn id="8" name="RAG"/>
    <tableColumn id="9" name="AuditCount"/>
    <tableColumn id="10" name="AuditTarget"/>
    <tableColumn id="11" name="AuditPct"/>
    <tableColumn id="12" name="HRPOpen"/>
    <tableColumn id="13" name="PackedOverd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DispatchDaily" displayName="tblDispatchDaily" ref="A1:E2" headerRowCount="1">
  <autoFilter ref="A1:E2"/>
  <tableColumns count="5">
    <tableColumn id="1" name="BusinessDate"/>
    <tableColumn id="2" name="TotalShipped"/>
    <tableColumn id="3" name="TotalStaff"/>
    <tableColumn id="4" name="TotalExpected"/>
    <tableColumn id="5" name="DailyPerformancePc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History" displayName="tblHistory" ref="A1:K2" headerRowCount="1">
  <autoFilter ref="A1:K2"/>
  <tableColumns count="11">
    <tableColumn id="1" name="SnapshotTimestamp"/>
    <tableColumn id="2" name="BusinessDate"/>
    <tableColumn id="3" name="ShiftName"/>
    <tableColumn id="4" name="ShippedCartons"/>
    <tableColumn id="5" name="TotalStaff"/>
    <tableColumn id="6" name="ExpectedCartons"/>
    <tableColumn id="7" name="PerformancePct"/>
    <tableColumn id="8" name="RAG"/>
    <tableColumn id="9" name="HRP_OpenCount"/>
    <tableColumn id="10" name="Packed_OverdueCount"/>
    <tableColumn id="11" name="Audit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#IN_PACKED!A1" TargetMode="External" Id="rId1" /><Relationship Type="http://schemas.openxmlformats.org/officeDocument/2006/relationships/hyperlink" Target="#IN_HRP!A1" TargetMode="External" Id="rId2" /><Relationship Type="http://schemas.openxmlformats.org/officeDocument/2006/relationships/hyperlink" Target="#IN_SHIPPED_LPNS!A1" TargetMode="External" Id="rId3" /><Relationship Type="http://schemas.openxmlformats.org/officeDocument/2006/relationships/hyperlink" Target="#IN_STAFFING!A1" TargetMode="External" Id="rId4" /><Relationship Type="http://schemas.openxmlformats.org/officeDocument/2006/relationships/hyperlink" Target="#IN_AUDIT_LOG!A1" TargetMode="External" Id="rId5" /><Relationship Type="http://schemas.openxmlformats.org/officeDocument/2006/relationships/hyperlink" Target="#T_DISPATCH_KPI!A1" TargetMode="External" Id="rId6" /><Relationship Type="http://schemas.openxmlformats.org/officeDocument/2006/relationships/hyperlink" Target="#HISTORY!A1" TargetMode="External" Id="rId7" /><Relationship Type="http://schemas.openxmlformats.org/officeDocument/2006/relationships/hyperlink" Target="#CHARTS!A1" TargetMode="External" Id="rId8" /><Relationship Type="http://schemas.openxmlformats.org/officeDocument/2006/relationships/hyperlink" Target="#DATA_QUALITY!A1" TargetMode="External" Id="rId9" /><Relationship Type="http://schemas.openxmlformats.org/officeDocument/2006/relationships/hyperlink" Target="#ACTION_HRP!A1" TargetMode="External" Id="rId10" /><Relationship Type="http://schemas.openxmlformats.org/officeDocument/2006/relationships/hyperlink" Target="#ACTION_PACKED!A1" TargetMode="External" Id="rId11" /><Relationship Type="http://schemas.openxmlformats.org/officeDocument/2006/relationships/hyperlink" Target="#DAILY_ENTRY!A1" TargetMode="External" Id="rId12" /></Relationships>
</file>

<file path=xl/worksheets/_rels/sheet2.xml.rels><Relationships xmlns="http://schemas.openxmlformats.org/package/2006/relationships"><Relationship Type="http://schemas.openxmlformats.org/officeDocument/2006/relationships/hyperlink" Target="#DASHBOARD!A1" TargetMode="Externa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table" Target="/xl/tables/table2.xml" Id="rId2" /><Relationship Type="http://schemas.openxmlformats.org/officeDocument/2006/relationships/table" Target="/xl/tables/table3.xml" Id="rId3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7.xml" Id="rId1" /></Relationships>
</file>

<file path=xl/worksheets/_rels/sheet9.xml.rels><Relationships xmlns="http://schemas.openxmlformats.org/package/2006/relationships"><Relationship Type="http://schemas.openxmlformats.org/officeDocument/2006/relationships/table" Target="/xl/tables/table8.xml" Id="rId1" /></Relationships>
</file>

<file path=xl/worksheets/_rels/sheet10.xml.rels><Relationships xmlns="http://schemas.openxmlformats.org/package/2006/relationships"><Relationship Type="http://schemas.openxmlformats.org/officeDocument/2006/relationships/table" Target="/xl/tables/table9.xml" Id="rId1" 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0.xml" Id="rId1" 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1.xml" Id="rId1" 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2.xml" Id="rId1" /></Relationships>
</file>

<file path=xl/worksheets/sheet1.xml><?xml version="1.0" encoding="utf-8"?>
<worksheet xmlns="http://schemas.openxmlformats.org/spreadsheetml/2006/main">
  <sheetPr>
    <tabColor rgb="000070C0"/>
    <outlinePr summaryBelow="1" summaryRight="1"/>
    <pageSetUpPr/>
  </sheetPr>
  <dimension ref="A1:O51"/>
  <sheetViews>
    <sheetView workbookViewId="0">
      <selection activeCell="A1" sqref="A1"/>
    </sheetView>
  </sheetViews>
  <sheetFormatPr baseColWidth="8" defaultRowHeight="15"/>
  <cols>
    <col width="2" customWidth="1" min="1" max="1"/>
    <col width="15" customWidth="1" min="2" max="2"/>
    <col width="15" customWidth="1" min="3" max="3"/>
    <col width="15" customWidth="1" min="4" max="4"/>
    <col width="15" customWidth="1" min="5" max="5"/>
    <col width="15" customWidth="1" min="6" max="6"/>
    <col width="15" customWidth="1" min="7" max="7"/>
    <col width="15" customWidth="1" min="8" max="8"/>
    <col width="15" customWidth="1" min="9" max="9"/>
    <col width="15" customWidth="1" min="10" max="10"/>
    <col width="15" customWidth="1" min="11" max="11"/>
    <col width="15" customWidth="1" min="12" max="12"/>
    <col width="15" customWidth="1" min="13" max="13"/>
    <col width="15" customWidth="1" min="14" max="14"/>
  </cols>
  <sheetData>
    <row r="1" ht="36" customHeight="1">
      <c r="A1" s="1" t="inlineStr">
        <is>
          <t>WAREHOUSE / DISPATCH KPI DASHBOARD</t>
        </is>
      </c>
    </row>
    <row r="2" ht="18" customHeight="1">
      <c r="A2" s="2" t="inlineStr">
        <is>
          <t>Last Refreshed:</t>
        </is>
      </c>
      <c r="D2" s="3">
        <f>TEXT(NOW(),"dd/mm/yyyy hh:mm")</f>
        <v/>
      </c>
      <c r="H2" s="4" t="inlineStr">
        <is>
          <t>Warehouse / Dispatch KPI System  v0.0.1-beta</t>
        </is>
      </c>
    </row>
    <row r="3" ht="6" customHeight="1">
      <c r="A3" s="5" t="n"/>
      <c r="B3" s="5" t="n"/>
      <c r="C3" s="5" t="n"/>
      <c r="D3" s="5" t="n"/>
      <c r="E3" s="5" t="n"/>
      <c r="F3" s="5" t="n"/>
      <c r="G3" s="5" t="n"/>
      <c r="H3" s="5" t="n"/>
      <c r="I3" s="5" t="n"/>
      <c r="J3" s="5" t="n"/>
      <c r="K3" s="5" t="n"/>
      <c r="L3" s="5" t="n"/>
      <c r="M3" s="5" t="n"/>
      <c r="N3" s="5" t="n"/>
    </row>
    <row r="4" ht="20" customHeight="1">
      <c r="A4" s="6" t="inlineStr">
        <is>
          <t xml:space="preserve">  KPI OVERVIEW</t>
        </is>
      </c>
    </row>
    <row r="5" ht="18" customHeight="1">
      <c r="A5" s="5" t="n"/>
      <c r="B5" s="7" t="inlineStr">
        <is>
          <t>HRP OPEN ITEMS</t>
        </is>
      </c>
      <c r="C5" s="8" t="n"/>
      <c r="D5" s="9" t="n"/>
      <c r="E5" s="5" t="n"/>
      <c r="F5" s="7" t="inlineStr">
        <is>
          <t>PACKED OVERDUE</t>
        </is>
      </c>
      <c r="G5" s="8" t="n"/>
      <c r="H5" s="9" t="n"/>
      <c r="I5" s="5" t="n"/>
      <c r="J5" s="10" t="inlineStr">
        <is>
          <t>DISPATCH PERF TODAY</t>
        </is>
      </c>
      <c r="K5" s="11" t="n"/>
      <c r="L5" s="12" t="n"/>
      <c r="M5" s="5" t="n"/>
      <c r="N5" s="5" t="n"/>
    </row>
    <row r="6" ht="42" customHeight="1">
      <c r="A6" s="5" t="n"/>
      <c r="B6" s="13">
        <f>COUNTIF(tblHRP[IncludeInHRP],TRUE)</f>
        <v/>
      </c>
      <c r="D6" s="14" t="n"/>
      <c r="E6" s="5" t="n"/>
      <c r="F6" s="13">
        <f>COUNTIF(tblPacked[ActionFlag],TRUE)</f>
        <v/>
      </c>
      <c r="H6" s="14" t="n"/>
      <c r="I6" s="5" t="n"/>
      <c r="J6" s="15">
        <f>IFERROR(TEXT(INDEX(tblDispatchDaily[DailyPerformancePct],MATCH(TODAY(),tblDispatchDaily[BusinessDate],0)),"0.0%"),"N/A")</f>
        <v/>
      </c>
      <c r="L6" s="16" t="n"/>
      <c r="M6" s="5" t="n"/>
      <c r="N6" s="5" t="n"/>
    </row>
    <row r="7" ht="8" customHeight="1">
      <c r="A7" s="5" t="n"/>
      <c r="B7" s="17" t="n"/>
      <c r="D7" s="14" t="n"/>
      <c r="E7" s="5" t="n"/>
      <c r="F7" s="17" t="n"/>
      <c r="H7" s="14" t="n"/>
      <c r="I7" s="5" t="n"/>
      <c r="J7" s="18" t="n"/>
      <c r="L7" s="16" t="n"/>
      <c r="M7" s="5" t="n"/>
      <c r="N7" s="5" t="n"/>
    </row>
    <row r="8" ht="8" customHeight="1">
      <c r="A8" s="5" t="n"/>
      <c r="B8" s="19" t="n"/>
      <c r="C8" s="20" t="n"/>
      <c r="D8" s="21" t="n"/>
      <c r="E8" s="5" t="n"/>
      <c r="F8" s="19" t="n"/>
      <c r="G8" s="20" t="n"/>
      <c r="H8" s="21" t="n"/>
      <c r="I8" s="5" t="n"/>
      <c r="J8" s="22" t="n"/>
      <c r="K8" s="23" t="n"/>
      <c r="L8" s="24" t="n"/>
      <c r="M8" s="5" t="n"/>
      <c r="N8" s="5" t="n"/>
    </row>
    <row r="9" ht="18" customHeight="1">
      <c r="A9" s="5" t="n"/>
      <c r="B9" s="25" t="inlineStr">
        <is>
          <t>DUPLICATE LPNs</t>
        </is>
      </c>
      <c r="C9" s="26" t="n"/>
      <c r="D9" s="27" t="n"/>
      <c r="E9" s="5" t="n"/>
      <c r="F9" s="10" t="inlineStr">
        <is>
          <t>STAFF TODAY</t>
        </is>
      </c>
      <c r="G9" s="11" t="n"/>
      <c r="H9" s="12" t="n"/>
      <c r="I9" s="5" t="n"/>
      <c r="J9" s="28" t="inlineStr">
        <is>
          <t>CARTONS SHIPPED TODAY</t>
        </is>
      </c>
      <c r="K9" s="29" t="n"/>
      <c r="L9" s="30" t="n"/>
      <c r="M9" s="5" t="n"/>
      <c r="N9" s="5" t="n"/>
    </row>
    <row r="10" ht="42" customHeight="1">
      <c r="A10" s="5" t="n"/>
      <c r="B10" s="31">
        <f>COUNTIF(tblShipped[DupFlag],TRUE)</f>
        <v/>
      </c>
      <c r="D10" s="32" t="n"/>
      <c r="E10" s="5" t="n"/>
      <c r="F10" s="15">
        <f>SUMIF(tblDispatchKPI[BusinessDate],TODAY(),tblDispatchKPI[TotalStaff])</f>
        <v/>
      </c>
      <c r="H10" s="16" t="n"/>
      <c r="I10" s="5" t="n"/>
      <c r="J10" s="33">
        <f>SUMIF(tblDispatchKPI[BusinessDate],TODAY(),tblDispatchKPI[ShippedCartons])</f>
        <v/>
      </c>
      <c r="L10" s="34" t="n"/>
      <c r="M10" s="5" t="n"/>
      <c r="N10" s="5" t="n"/>
    </row>
    <row r="11" ht="8" customHeight="1">
      <c r="A11" s="5" t="n"/>
      <c r="B11" s="35" t="n"/>
      <c r="D11" s="32" t="n"/>
      <c r="E11" s="5" t="n"/>
      <c r="F11" s="18" t="n"/>
      <c r="H11" s="16" t="n"/>
      <c r="I11" s="5" t="n"/>
      <c r="J11" s="36" t="n"/>
      <c r="L11" s="34" t="n"/>
      <c r="M11" s="5" t="n"/>
      <c r="N11" s="5" t="n"/>
    </row>
    <row r="12" ht="8" customHeight="1">
      <c r="A12" s="5" t="n"/>
      <c r="B12" s="37" t="n"/>
      <c r="C12" s="38" t="n"/>
      <c r="D12" s="39" t="n"/>
      <c r="E12" s="5" t="n"/>
      <c r="F12" s="22" t="n"/>
      <c r="G12" s="23" t="n"/>
      <c r="H12" s="24" t="n"/>
      <c r="I12" s="5" t="n"/>
      <c r="J12" s="40" t="n"/>
      <c r="K12" s="41" t="n"/>
      <c r="L12" s="42" t="n"/>
      <c r="M12" s="5" t="n"/>
      <c r="N12" s="5" t="n"/>
    </row>
    <row r="13" ht="8" customHeight="1">
      <c r="A13" s="5" t="n"/>
      <c r="B13" s="5" t="n"/>
      <c r="C13" s="5" t="n"/>
      <c r="D13" s="5" t="n"/>
      <c r="E13" s="5" t="n"/>
      <c r="F13" s="5" t="n"/>
      <c r="G13" s="5" t="n"/>
      <c r="H13" s="5" t="n"/>
      <c r="I13" s="5" t="n"/>
      <c r="J13" s="5" t="n"/>
      <c r="K13" s="5" t="n"/>
      <c r="L13" s="5" t="n"/>
      <c r="M13" s="5" t="n"/>
      <c r="N13" s="5" t="n"/>
    </row>
    <row r="14" ht="20" customHeight="1">
      <c r="A14" s="6" t="inlineStr">
        <is>
          <t xml:space="preserve">  PERFORMANCE SUMMARY  (Most Recent Shifts)</t>
        </is>
      </c>
    </row>
    <row r="15" ht="16" customHeight="1">
      <c r="A15" s="43" t="inlineStr">
        <is>
          <t>Date</t>
        </is>
      </c>
      <c r="B15" s="43" t="inlineStr">
        <is>
          <t>Shift</t>
        </is>
      </c>
      <c r="C15" s="43" t="inlineStr">
        <is>
          <t>Shipped</t>
        </is>
      </c>
      <c r="D15" s="43" t="inlineStr">
        <is>
          <t>Expected</t>
        </is>
      </c>
      <c r="E15" s="43" t="inlineStr">
        <is>
          <t>Perf %</t>
        </is>
      </c>
      <c r="F15" s="43" t="inlineStr">
        <is>
          <t>RAG</t>
        </is>
      </c>
      <c r="G15" s="5" t="n"/>
      <c r="H15" s="5" t="n"/>
      <c r="I15" s="5" t="n"/>
      <c r="J15" s="5" t="n"/>
      <c r="K15" s="5" t="n"/>
      <c r="L15" s="5" t="n"/>
      <c r="M15" s="5" t="n"/>
      <c r="N15" s="5" t="n"/>
    </row>
    <row r="16" ht="14" customHeight="1">
      <c r="A16" s="44">
        <f>IFERROR(TEXT(INDEX(tblDispatchKPI[BusinessDate],ROWS(tblDispatchKPI[BusinessDate])-0),"dd/mm/yyyy"),"")</f>
        <v/>
      </c>
      <c r="B16" s="44">
        <f>IFERROR(INDEX(tblDispatchKPI[ShiftName],ROWS(tblDispatchKPI[BusinessDate])-0),"")</f>
        <v/>
      </c>
      <c r="C16" s="44">
        <f>IFERROR(INDEX(tblDispatchKPI[ShippedCartons],ROWS(tblDispatchKPI[BusinessDate])-0),"")</f>
        <v/>
      </c>
      <c r="D16" s="44">
        <f>IFERROR(INDEX(tblDispatchKPI[ExpectedCartons],ROWS(tblDispatchKPI[BusinessDate])-0),"")</f>
        <v/>
      </c>
      <c r="E16" s="44">
        <f>IFERROR(TEXT(INDEX(tblDispatchKPI[PerformancePct],ROWS(tblDispatchKPI[BusinessDate])-0),"0.0%"),"")</f>
        <v/>
      </c>
      <c r="F16" s="44">
        <f>IFERROR(INDEX(tblDispatchKPI[RAG],ROWS(tblDispatchKPI[BusinessDate])-0),"")</f>
        <v/>
      </c>
      <c r="G16" s="5" t="n"/>
      <c r="H16" s="5" t="n"/>
      <c r="I16" s="5" t="n"/>
      <c r="J16" s="5" t="n"/>
      <c r="K16" s="5" t="n"/>
      <c r="L16" s="5" t="n"/>
      <c r="M16" s="5" t="n"/>
      <c r="N16" s="5" t="n"/>
    </row>
    <row r="17" ht="14" customHeight="1">
      <c r="A17" s="45">
        <f>IFERROR(TEXT(INDEX(tblDispatchKPI[BusinessDate],ROWS(tblDispatchKPI[BusinessDate])-1),"dd/mm/yyyy"),"")</f>
        <v/>
      </c>
      <c r="B17" s="45">
        <f>IFERROR(INDEX(tblDispatchKPI[ShiftName],ROWS(tblDispatchKPI[BusinessDate])-1),"")</f>
        <v/>
      </c>
      <c r="C17" s="45">
        <f>IFERROR(INDEX(tblDispatchKPI[ShippedCartons],ROWS(tblDispatchKPI[BusinessDate])-1),"")</f>
        <v/>
      </c>
      <c r="D17" s="45">
        <f>IFERROR(INDEX(tblDispatchKPI[ExpectedCartons],ROWS(tblDispatchKPI[BusinessDate])-1),"")</f>
        <v/>
      </c>
      <c r="E17" s="45">
        <f>IFERROR(TEXT(INDEX(tblDispatchKPI[PerformancePct],ROWS(tblDispatchKPI[BusinessDate])-1),"0.0%"),"")</f>
        <v/>
      </c>
      <c r="F17" s="45">
        <f>IFERROR(INDEX(tblDispatchKPI[RAG],ROWS(tblDispatchKPI[BusinessDate])-1),"")</f>
        <v/>
      </c>
      <c r="G17" s="5" t="n"/>
      <c r="H17" s="5" t="n"/>
      <c r="I17" s="5" t="n"/>
      <c r="J17" s="5" t="n"/>
      <c r="K17" s="5" t="n"/>
      <c r="L17" s="5" t="n"/>
      <c r="M17" s="5" t="n"/>
      <c r="N17" s="5" t="n"/>
    </row>
    <row r="18" ht="14" customHeight="1">
      <c r="A18" s="44">
        <f>IFERROR(TEXT(INDEX(tblDispatchKPI[BusinessDate],ROWS(tblDispatchKPI[BusinessDate])-2),"dd/mm/yyyy"),"")</f>
        <v/>
      </c>
      <c r="B18" s="44">
        <f>IFERROR(INDEX(tblDispatchKPI[ShiftName],ROWS(tblDispatchKPI[BusinessDate])-2),"")</f>
        <v/>
      </c>
      <c r="C18" s="44">
        <f>IFERROR(INDEX(tblDispatchKPI[ShippedCartons],ROWS(tblDispatchKPI[BusinessDate])-2),"")</f>
        <v/>
      </c>
      <c r="D18" s="44">
        <f>IFERROR(INDEX(tblDispatchKPI[ExpectedCartons],ROWS(tblDispatchKPI[BusinessDate])-2),"")</f>
        <v/>
      </c>
      <c r="E18" s="44">
        <f>IFERROR(TEXT(INDEX(tblDispatchKPI[PerformancePct],ROWS(tblDispatchKPI[BusinessDate])-2),"0.0%"),"")</f>
        <v/>
      </c>
      <c r="F18" s="44">
        <f>IFERROR(INDEX(tblDispatchKPI[RAG],ROWS(tblDispatchKPI[BusinessDate])-2),"")</f>
        <v/>
      </c>
      <c r="G18" s="5" t="n"/>
      <c r="H18" s="5" t="n"/>
      <c r="I18" s="5" t="n"/>
      <c r="J18" s="5" t="n"/>
      <c r="K18" s="5" t="n"/>
      <c r="L18" s="5" t="n"/>
      <c r="M18" s="5" t="n"/>
      <c r="N18" s="5" t="n"/>
    </row>
    <row r="19" ht="8" customHeight="1">
      <c r="A19" s="5" t="n"/>
      <c r="B19" s="5" t="n"/>
      <c r="C19" s="5" t="n"/>
      <c r="D19" s="5" t="n"/>
      <c r="E19" s="5" t="n"/>
      <c r="F19" s="5" t="n"/>
      <c r="G19" s="5" t="n"/>
      <c r="H19" s="5" t="n"/>
      <c r="I19" s="5" t="n"/>
      <c r="J19" s="5" t="n"/>
      <c r="K19" s="5" t="n"/>
      <c r="L19" s="5" t="n"/>
      <c r="M19" s="5" t="n"/>
      <c r="N19" s="5" t="n"/>
    </row>
    <row r="20" ht="20" customHeight="1">
      <c r="A20" s="46" t="inlineStr">
        <is>
          <t xml:space="preserve">  AUDIT OVERVIEW  (Today)</t>
        </is>
      </c>
    </row>
    <row r="21" ht="18" customHeight="1">
      <c r="A21" s="5" t="n"/>
      <c r="B21" s="47" t="inlineStr">
        <is>
          <t>AUDITS TODAY</t>
        </is>
      </c>
      <c r="C21" s="48" t="n"/>
      <c r="D21" s="49" t="n"/>
      <c r="E21" s="5" t="n"/>
      <c r="F21" s="47" t="inlineStr">
        <is>
          <t>AUDIT TARGET (PER SHIFT)</t>
        </is>
      </c>
      <c r="G21" s="48" t="n"/>
      <c r="H21" s="49" t="n"/>
      <c r="I21" s="5" t="n"/>
      <c r="J21" s="47" t="inlineStr">
        <is>
          <t>AUDIT COMPLIANCE TODAY</t>
        </is>
      </c>
      <c r="K21" s="48" t="n"/>
      <c r="L21" s="49" t="n"/>
      <c r="M21" s="5" t="n"/>
      <c r="N21" s="5" t="n"/>
    </row>
    <row r="22" ht="42" customHeight="1">
      <c r="A22" s="5" t="n"/>
      <c r="B22" s="50">
        <f>IFERROR(SUMIFS(tblAuditLog[AuditCount],tblAuditLog[BusinessDate],TODAY()),"N/A")</f>
        <v/>
      </c>
      <c r="D22" s="51" t="n"/>
      <c r="E22" s="5" t="n"/>
      <c r="F22" s="50">
        <f>IFERROR(INDEX(tblConfig_Rules[Value],MATCH("Audit_SampleSize",tblConfig_Rules[RuleName],0)),"N/A")</f>
        <v/>
      </c>
      <c r="H22" s="51" t="n"/>
      <c r="I22" s="5" t="n"/>
      <c r="J22" s="50">
        <f>IFERROR(TEXT(SUMIFS(tblAuditLog[AuditCount],tblAuditLog[BusinessDate],TODAY())/INDEX(tblConfig_Rules[Value],MATCH("Audit_SampleSize",tblConfig_Rules[RuleName],0)),"0.0%"),"N/A")</f>
        <v/>
      </c>
      <c r="L22" s="51" t="n"/>
      <c r="M22" s="5" t="n"/>
      <c r="N22" s="5" t="n"/>
    </row>
    <row r="23" ht="8" customHeight="1">
      <c r="A23" s="5" t="n"/>
      <c r="B23" s="52" t="n"/>
      <c r="D23" s="51" t="n"/>
      <c r="E23" s="5" t="n"/>
      <c r="F23" s="52" t="n"/>
      <c r="H23" s="51" t="n"/>
      <c r="I23" s="5" t="n"/>
      <c r="J23" s="52" t="n"/>
      <c r="L23" s="51" t="n"/>
      <c r="M23" s="5" t="n"/>
      <c r="N23" s="5" t="n"/>
    </row>
    <row r="24" ht="8" customHeight="1">
      <c r="A24" s="5" t="n"/>
      <c r="B24" s="53" t="n"/>
      <c r="C24" s="54" t="n"/>
      <c r="D24" s="55" t="n"/>
      <c r="E24" s="5" t="n"/>
      <c r="F24" s="53" t="n"/>
      <c r="G24" s="54" t="n"/>
      <c r="H24" s="55" t="n"/>
      <c r="I24" s="5" t="n"/>
      <c r="J24" s="53" t="n"/>
      <c r="K24" s="54" t="n"/>
      <c r="L24" s="55" t="n"/>
      <c r="M24" s="5" t="n"/>
      <c r="N24" s="5" t="n"/>
    </row>
    <row r="25" ht="8" customHeight="1">
      <c r="A25" s="5" t="n"/>
      <c r="B25" s="5" t="n"/>
      <c r="C25" s="5" t="n"/>
      <c r="D25" s="5" t="n"/>
      <c r="E25" s="5" t="n"/>
      <c r="F25" s="5" t="n"/>
      <c r="G25" s="5" t="n"/>
      <c r="H25" s="5" t="n"/>
      <c r="I25" s="5" t="n"/>
      <c r="J25" s="5" t="n"/>
      <c r="K25" s="5" t="n"/>
      <c r="L25" s="5" t="n"/>
      <c r="M25" s="5" t="n"/>
      <c r="N25" s="5" t="n"/>
    </row>
    <row r="26" ht="20" customHeight="1">
      <c r="A26" s="56" t="inlineStr">
        <is>
          <t xml:space="preserve">  RAG LEGEND</t>
        </is>
      </c>
    </row>
    <row r="27" ht="16" customHeight="1">
      <c r="A27" s="5" t="n"/>
      <c r="B27" s="57" t="inlineStr">
        <is>
          <t>GREEN</t>
        </is>
      </c>
      <c r="E27" s="5" t="n"/>
      <c r="F27" s="58" t="inlineStr">
        <is>
          <t>AMBER</t>
        </is>
      </c>
      <c r="I27" s="5" t="n"/>
      <c r="J27" s="59" t="inlineStr">
        <is>
          <t>RED</t>
        </is>
      </c>
      <c r="M27" s="5" t="n"/>
      <c r="N27" s="5" t="n"/>
    </row>
    <row r="28" ht="14" customHeight="1">
      <c r="A28" s="5" t="n"/>
      <c r="B28" s="60" t="inlineStr">
        <is>
          <t>Dispatch Performance &gt;= 100%</t>
        </is>
      </c>
      <c r="E28" s="5" t="n"/>
      <c r="F28" s="60" t="inlineStr">
        <is>
          <t>Dispatch Performance &gt;= 90% and &lt; 100%</t>
        </is>
      </c>
      <c r="I28" s="5" t="n"/>
      <c r="J28" s="60" t="inlineStr">
        <is>
          <t>Dispatch Performance &lt; 90%</t>
        </is>
      </c>
      <c r="M28" s="5" t="n"/>
      <c r="N28" s="5" t="n"/>
    </row>
    <row r="29" ht="8" customHeight="1">
      <c r="A29" s="5" t="n"/>
      <c r="B29" s="5" t="n"/>
      <c r="C29" s="5" t="n"/>
      <c r="D29" s="5" t="n"/>
      <c r="E29" s="5" t="n"/>
      <c r="F29" s="5" t="n"/>
      <c r="G29" s="5" t="n"/>
      <c r="H29" s="5" t="n"/>
      <c r="I29" s="5" t="n"/>
      <c r="J29" s="5" t="n"/>
      <c r="K29" s="5" t="n"/>
      <c r="L29" s="5" t="n"/>
      <c r="M29" s="5" t="n"/>
      <c r="N29" s="5" t="n"/>
    </row>
    <row r="30" ht="20" customHeight="1">
      <c r="A30" s="61" t="inlineStr">
        <is>
          <t xml:space="preserve">  QUICK NAVIGATION</t>
        </is>
      </c>
    </row>
    <row r="31" ht="16" customHeight="1">
      <c r="A31" s="5" t="n"/>
      <c r="B31" s="62" t="inlineStr">
        <is>
          <t>&gt;&gt; IN_PACKED</t>
        </is>
      </c>
      <c r="D31" s="62" t="inlineStr">
        <is>
          <t>&gt;&gt; IN_HRP</t>
        </is>
      </c>
      <c r="F31" s="63" t="inlineStr">
        <is>
          <t>&gt;&gt; IN_SHIPPED_LPNS</t>
        </is>
      </c>
      <c r="H31" s="63" t="inlineStr">
        <is>
          <t>&gt;&gt; IN_STAFFING</t>
        </is>
      </c>
      <c r="J31" s="64" t="inlineStr">
        <is>
          <t>&gt;&gt; IN_AUDIT_LOG</t>
        </is>
      </c>
      <c r="L31" s="65" t="inlineStr">
        <is>
          <t>&gt;&gt; T_DISPATCH_KPI</t>
        </is>
      </c>
      <c r="N31" s="66" t="inlineStr">
        <is>
          <t>&gt;&gt; HISTORY</t>
        </is>
      </c>
    </row>
    <row r="32" ht="16" customHeight="1">
      <c r="A32" s="5" t="n"/>
      <c r="B32" s="67" t="inlineStr">
        <is>
          <t>&gt;&gt; CHARTS</t>
        </is>
      </c>
      <c r="D32" s="65" t="inlineStr">
        <is>
          <t>&gt;&gt; DATA_QUALITY</t>
        </is>
      </c>
      <c r="F32" s="68" t="inlineStr">
        <is>
          <t>&gt;&gt; ACTION_HRP</t>
        </is>
      </c>
      <c r="H32" s="68" t="inlineStr">
        <is>
          <t>&gt;&gt; ACTION_PACKED</t>
        </is>
      </c>
      <c r="J32" s="67" t="inlineStr">
        <is>
          <t>&gt;&gt; DAILY_ENTRY</t>
        </is>
      </c>
      <c r="L32" s="5" t="n"/>
      <c r="M32" s="5" t="n"/>
      <c r="N32" s="5" t="n"/>
    </row>
    <row r="33" ht="8" customHeight="1">
      <c r="A33" s="5" t="n"/>
      <c r="B33" s="5" t="n"/>
      <c r="C33" s="5" t="n"/>
      <c r="D33" s="5" t="n"/>
      <c r="E33" s="5" t="n"/>
      <c r="F33" s="5" t="n"/>
      <c r="G33" s="5" t="n"/>
      <c r="H33" s="5" t="n"/>
      <c r="I33" s="5" t="n"/>
      <c r="J33" s="5" t="n"/>
      <c r="K33" s="5" t="n"/>
      <c r="L33" s="5" t="n"/>
      <c r="M33" s="5" t="n"/>
      <c r="N33" s="5" t="n"/>
    </row>
    <row r="34" ht="20" customHeight="1">
      <c r="A34" s="69" t="inlineStr">
        <is>
          <t xml:space="preserve">  CONTROLS  (VBA macro buttons — workbook must be saved as .xlsm with macros enabled)</t>
        </is>
      </c>
    </row>
    <row r="35" ht="28" customHeight="1">
      <c r="A35" s="70" t="inlineStr">
        <is>
          <t>⚠  To activate the buttons below: File → Save As → Excel Macro-Enabled Workbook (.xlsm). Then enable macros when prompted on next open.  Alternatively, run CreateKPIWorkbook.bas from the Developer → Visual Basic editor.</t>
        </is>
      </c>
    </row>
    <row r="36" ht="18" customHeight="1">
      <c r="A36" s="5" t="n"/>
      <c r="B36" s="71" t="inlineStr">
        <is>
          <t>[ REFRESH ALL ]</t>
        </is>
      </c>
      <c r="E36" s="5" t="n"/>
      <c r="F36" s="71" t="inlineStr">
        <is>
          <t>[ TAKE DAILY SNAPSHOT ]</t>
        </is>
      </c>
      <c r="I36" s="5" t="n"/>
      <c r="J36" s="71" t="inlineStr">
        <is>
          <t>[ POPULATE ACTION SHEETS ]</t>
        </is>
      </c>
      <c r="M36" s="5" t="n"/>
      <c r="N36" s="5" t="n"/>
    </row>
    <row r="37" ht="24" customHeight="1">
      <c r="A37" s="5" t="n"/>
      <c r="B37" s="72" t="inlineStr">
        <is>
          <t>Recalculates all formulas &amp; refreshes PivotTables</t>
        </is>
      </c>
      <c r="E37" s="5" t="n"/>
      <c r="F37" s="72" t="inlineStr">
        <is>
          <t>Appends current KPIs to the HISTORY sheet</t>
        </is>
      </c>
      <c r="I37" s="5" t="n"/>
      <c r="J37" s="72" t="inlineStr">
        <is>
          <t>Copies filtered data to ACTION_HRP and ACTION_PACKED</t>
        </is>
      </c>
      <c r="M37" s="5" t="n"/>
      <c r="N37" s="5" t="n"/>
    </row>
    <row r="38" ht="24" customHeight="1">
      <c r="A38" s="5" t="n"/>
      <c r="B38" s="73" t="inlineStr">
        <is>
          <t>[ FILL DATA ]</t>
        </is>
      </c>
      <c r="E38" s="5" t="n"/>
      <c r="F38" s="5" t="n"/>
      <c r="G38" s="5" t="n"/>
      <c r="H38" s="5" t="n"/>
      <c r="I38" s="5" t="n"/>
      <c r="J38" s="5" t="n"/>
      <c r="K38" s="5" t="n"/>
      <c r="L38" s="5" t="n"/>
      <c r="M38" s="5" t="n"/>
      <c r="N38" s="5" t="n"/>
    </row>
    <row r="39" ht="20" customHeight="1">
      <c r="A39" s="5" t="n"/>
      <c r="B39" s="72" t="inlineStr">
        <is>
          <t>Open the daily entry form to record shift data for a specific day — the dashboard calculates all KPIs for the day, week, and month.</t>
        </is>
      </c>
    </row>
    <row r="40" ht="8" customHeight="1">
      <c r="A40" s="5" t="n"/>
      <c r="B40" s="5" t="n"/>
      <c r="C40" s="5" t="n"/>
      <c r="D40" s="5" t="n"/>
      <c r="E40" s="5" t="n"/>
      <c r="F40" s="5" t="n"/>
      <c r="G40" s="5" t="n"/>
      <c r="H40" s="5" t="n"/>
      <c r="I40" s="5" t="n"/>
      <c r="J40" s="5" t="n"/>
      <c r="K40" s="5" t="n"/>
      <c r="L40" s="5" t="n"/>
      <c r="M40" s="5" t="n"/>
      <c r="N40" s="5" t="n"/>
    </row>
    <row r="41" ht="20" customHeight="1">
      <c r="A41" s="74" t="inlineStr">
        <is>
          <t xml:space="preserve">  WEEKLY SUMMARY  (Monday – today)</t>
        </is>
      </c>
    </row>
    <row r="42" ht="18" customHeight="1">
      <c r="A42" s="5" t="n"/>
      <c r="B42" s="75" t="inlineStr">
        <is>
          <t>CARTONS THIS WEEK</t>
        </is>
      </c>
      <c r="C42" s="76" t="n"/>
      <c r="D42" s="77" t="n"/>
      <c r="E42" s="5" t="n"/>
      <c r="F42" s="75" t="inlineStr">
        <is>
          <t>AVG PERF % (WEEK)</t>
        </is>
      </c>
      <c r="G42" s="76" t="n"/>
      <c r="H42" s="77" t="n"/>
      <c r="I42" s="5" t="n"/>
      <c r="J42" s="75" t="inlineStr">
        <is>
          <t>STAFF COUNT THIS WEEK</t>
        </is>
      </c>
      <c r="K42" s="76" t="n"/>
      <c r="L42" s="77" t="n"/>
      <c r="M42" s="5" t="n"/>
      <c r="N42" s="5" t="n"/>
    </row>
    <row r="43" ht="42" customHeight="1">
      <c r="A43" s="5" t="n"/>
      <c r="B43" s="78">
        <f>SUMIFS(tblDispatchDaily[TotalShipped],tblDispatchDaily[BusinessDate],"&gt;="&amp;(TODAY()-WEEKDAY(TODAY(),2)+1),tblDispatchDaily[BusinessDate],"&lt;="&amp;TODAY())</f>
        <v/>
      </c>
      <c r="D43" s="79" t="n"/>
      <c r="E43" s="5" t="n"/>
      <c r="F43" s="78">
        <f>IFERROR(TEXT(AVERAGEIFS(tblDispatchDaily[DailyPerformancePct],tblDispatchDaily[BusinessDate],"&gt;="&amp;(TODAY()-WEEKDAY(TODAY(),2)+1),tblDispatchDaily[BusinessDate],"&lt;="&amp;TODAY()),"0.0%"),"N/A")</f>
        <v/>
      </c>
      <c r="H43" s="79" t="n"/>
      <c r="I43" s="5" t="n"/>
      <c r="J43" s="78">
        <f>SUMIFS(tblDispatchDaily[TotalStaff],tblDispatchDaily[BusinessDate],"&gt;="&amp;(TODAY()-WEEKDAY(TODAY(),2)+1),tblDispatchDaily[BusinessDate],"&lt;="&amp;TODAY())</f>
        <v/>
      </c>
      <c r="L43" s="79" t="n"/>
      <c r="M43" s="5" t="n"/>
      <c r="N43" s="5" t="n"/>
    </row>
    <row r="44" ht="8" customHeight="1">
      <c r="A44" s="5" t="n"/>
      <c r="B44" s="80" t="n"/>
      <c r="D44" s="79" t="n"/>
      <c r="E44" s="5" t="n"/>
      <c r="F44" s="80" t="n"/>
      <c r="H44" s="79" t="n"/>
      <c r="I44" s="5" t="n"/>
      <c r="J44" s="80" t="n"/>
      <c r="L44" s="79" t="n"/>
      <c r="M44" s="5" t="n"/>
      <c r="N44" s="5" t="n"/>
    </row>
    <row r="45" ht="8" customHeight="1">
      <c r="A45" s="5" t="n"/>
      <c r="B45" s="81" t="n"/>
      <c r="C45" s="82" t="n"/>
      <c r="D45" s="83" t="n"/>
      <c r="E45" s="5" t="n"/>
      <c r="F45" s="81" t="n"/>
      <c r="G45" s="82" t="n"/>
      <c r="H45" s="83" t="n"/>
      <c r="I45" s="5" t="n"/>
      <c r="J45" s="81" t="n"/>
      <c r="K45" s="82" t="n"/>
      <c r="L45" s="83" t="n"/>
      <c r="M45" s="5" t="n"/>
      <c r="N45" s="5" t="n"/>
    </row>
    <row r="46" ht="8" customHeight="1">
      <c r="A46" s="5" t="n"/>
      <c r="B46" s="5" t="n"/>
      <c r="C46" s="5" t="n"/>
      <c r="D46" s="5" t="n"/>
      <c r="E46" s="5" t="n"/>
      <c r="F46" s="5" t="n"/>
      <c r="G46" s="5" t="n"/>
      <c r="H46" s="5" t="n"/>
      <c r="I46" s="5" t="n"/>
      <c r="J46" s="5" t="n"/>
      <c r="K46" s="5" t="n"/>
      <c r="L46" s="5" t="n"/>
      <c r="M46" s="5" t="n"/>
      <c r="N46" s="5" t="n"/>
    </row>
    <row r="47" ht="20" customHeight="1">
      <c r="A47" s="84" t="inlineStr">
        <is>
          <t xml:space="preserve">  MONTHLY SUMMARY  (1st of month – today)</t>
        </is>
      </c>
    </row>
    <row r="48" ht="18" customHeight="1">
      <c r="A48" s="5" t="n"/>
      <c r="B48" s="85" t="inlineStr">
        <is>
          <t>CARTONS THIS MONTH</t>
        </is>
      </c>
      <c r="C48" s="86" t="n"/>
      <c r="D48" s="87" t="n"/>
      <c r="E48" s="5" t="n"/>
      <c r="F48" s="85" t="inlineStr">
        <is>
          <t>AVG PERF % (MONTH)</t>
        </is>
      </c>
      <c r="G48" s="86" t="n"/>
      <c r="H48" s="87" t="n"/>
      <c r="I48" s="5" t="n"/>
      <c r="J48" s="85" t="inlineStr">
        <is>
          <t>STAFF COUNT THIS MONTH</t>
        </is>
      </c>
      <c r="K48" s="86" t="n"/>
      <c r="L48" s="87" t="n"/>
      <c r="M48" s="5" t="n"/>
      <c r="N48" s="5" t="n"/>
    </row>
    <row r="49" ht="42" customHeight="1">
      <c r="A49" s="5" t="n"/>
      <c r="B49" s="88">
        <f>SUMIFS(tblDispatchDaily[TotalShipped],tblDispatchDaily[BusinessDate],"&gt;="&amp;DATE(YEAR(TODAY()),MONTH(TODAY()),1),tblDispatchDaily[BusinessDate],"&lt;="&amp;TODAY())</f>
        <v/>
      </c>
      <c r="D49" s="89" t="n"/>
      <c r="E49" s="5" t="n"/>
      <c r="F49" s="88">
        <f>IFERROR(TEXT(AVERAGEIFS(tblDispatchDaily[DailyPerformancePct],tblDispatchDaily[BusinessDate],"&gt;="&amp;DATE(YEAR(TODAY()),MONTH(TODAY()),1),tblDispatchDaily[BusinessDate],"&lt;="&amp;TODAY()),"0.0%"),"N/A")</f>
        <v/>
      </c>
      <c r="H49" s="89" t="n"/>
      <c r="I49" s="5" t="n"/>
      <c r="J49" s="88">
        <f>SUMIFS(tblDispatchDaily[TotalStaff],tblDispatchDaily[BusinessDate],"&gt;="&amp;DATE(YEAR(TODAY()),MONTH(TODAY()),1),tblDispatchDaily[BusinessDate],"&lt;="&amp;TODAY())</f>
        <v/>
      </c>
      <c r="L49" s="89" t="n"/>
      <c r="M49" s="5" t="n"/>
      <c r="N49" s="5" t="n"/>
    </row>
    <row r="50" ht="8" customHeight="1">
      <c r="A50" s="5" t="n"/>
      <c r="B50" s="90" t="n"/>
      <c r="D50" s="89" t="n"/>
      <c r="E50" s="5" t="n"/>
      <c r="F50" s="90" t="n"/>
      <c r="H50" s="89" t="n"/>
      <c r="I50" s="5" t="n"/>
      <c r="J50" s="90" t="n"/>
      <c r="L50" s="89" t="n"/>
      <c r="M50" s="5" t="n"/>
      <c r="N50" s="5" t="n"/>
    </row>
    <row r="51" ht="8" customHeight="1">
      <c r="B51" s="91" t="n"/>
      <c r="C51" s="92" t="n"/>
      <c r="D51" s="93" t="n"/>
      <c r="F51" s="91" t="n"/>
      <c r="G51" s="92" t="n"/>
      <c r="H51" s="93" t="n"/>
      <c r="J51" s="91" t="n"/>
      <c r="K51" s="92" t="n"/>
      <c r="L51" s="93" t="n"/>
    </row>
    <row r="52" ht="8" customHeight="1"/>
  </sheetData>
  <mergeCells count="69">
    <mergeCell ref="B42:D42"/>
    <mergeCell ref="F5:H5"/>
    <mergeCell ref="A34:N34"/>
    <mergeCell ref="J6:L8"/>
    <mergeCell ref="F36:H36"/>
    <mergeCell ref="F42:H42"/>
    <mergeCell ref="J36:L36"/>
    <mergeCell ref="A30:N30"/>
    <mergeCell ref="J49:L51"/>
    <mergeCell ref="J27:L27"/>
    <mergeCell ref="B10:D12"/>
    <mergeCell ref="B31:C31"/>
    <mergeCell ref="H31:I31"/>
    <mergeCell ref="D31:E31"/>
    <mergeCell ref="B38:D38"/>
    <mergeCell ref="A2:C2"/>
    <mergeCell ref="A1:N1"/>
    <mergeCell ref="B28:D28"/>
    <mergeCell ref="B37:D37"/>
    <mergeCell ref="F28:H28"/>
    <mergeCell ref="B6:D8"/>
    <mergeCell ref="F22:H24"/>
    <mergeCell ref="F27:H27"/>
    <mergeCell ref="B9:D9"/>
    <mergeCell ref="B49:D51"/>
    <mergeCell ref="D32:E32"/>
    <mergeCell ref="A41:N41"/>
    <mergeCell ref="F9:H9"/>
    <mergeCell ref="F32:G32"/>
    <mergeCell ref="F43:H45"/>
    <mergeCell ref="F48:H48"/>
    <mergeCell ref="F37:H37"/>
    <mergeCell ref="J21:L21"/>
    <mergeCell ref="B5:D5"/>
    <mergeCell ref="B36:D36"/>
    <mergeCell ref="J42:L42"/>
    <mergeCell ref="J22:L24"/>
    <mergeCell ref="H32:I32"/>
    <mergeCell ref="A26:N26"/>
    <mergeCell ref="F49:H51"/>
    <mergeCell ref="J32:K32"/>
    <mergeCell ref="F31:G31"/>
    <mergeCell ref="J43:L45"/>
    <mergeCell ref="F10:H12"/>
    <mergeCell ref="J31:K31"/>
    <mergeCell ref="B39:N39"/>
    <mergeCell ref="D2:G2"/>
    <mergeCell ref="L31:M31"/>
    <mergeCell ref="A47:N47"/>
    <mergeCell ref="A14:N14"/>
    <mergeCell ref="N31:O31"/>
    <mergeCell ref="J48:L48"/>
    <mergeCell ref="J5:L5"/>
    <mergeCell ref="J28:L28"/>
    <mergeCell ref="A4:N4"/>
    <mergeCell ref="F6:H8"/>
    <mergeCell ref="A20:N20"/>
    <mergeCell ref="B22:D24"/>
    <mergeCell ref="H2:N2"/>
    <mergeCell ref="A35:N35"/>
    <mergeCell ref="J37:L37"/>
    <mergeCell ref="B27:D27"/>
    <mergeCell ref="B32:C32"/>
    <mergeCell ref="B21:D21"/>
    <mergeCell ref="J9:L9"/>
    <mergeCell ref="F21:H21"/>
    <mergeCell ref="B43:D45"/>
    <mergeCell ref="B48:D48"/>
    <mergeCell ref="J10:L12"/>
  </mergeCells>
  <conditionalFormatting sqref="F16">
    <cfRule type="containsText" priority="1" operator="containsText" dxfId="0" text="Green"/>
    <cfRule type="containsText" priority="2" operator="containsText" dxfId="1" text="Amber"/>
    <cfRule type="containsText" priority="3" operator="containsText" dxfId="2" text="Red"/>
  </conditionalFormatting>
  <conditionalFormatting sqref="F17">
    <cfRule type="containsText" priority="4" operator="containsText" dxfId="0" text="Green"/>
    <cfRule type="containsText" priority="5" operator="containsText" dxfId="1" text="Amber"/>
    <cfRule type="containsText" priority="6" operator="containsText" dxfId="2" text="Red"/>
  </conditionalFormatting>
  <conditionalFormatting sqref="F18">
    <cfRule type="containsText" priority="7" operator="containsText" dxfId="0" text="Green"/>
    <cfRule type="containsText" priority="8" operator="containsText" dxfId="1" text="Amber"/>
    <cfRule type="containsText" priority="9" operator="containsText" dxfId="2" text="Red"/>
  </conditionalFormatting>
  <hyperlinks>
    <hyperlink xmlns:r="http://schemas.openxmlformats.org/officeDocument/2006/relationships" ref="B31" r:id="rId1"/>
    <hyperlink xmlns:r="http://schemas.openxmlformats.org/officeDocument/2006/relationships" ref="D31" r:id="rId2"/>
    <hyperlink xmlns:r="http://schemas.openxmlformats.org/officeDocument/2006/relationships" ref="F31" r:id="rId3"/>
    <hyperlink xmlns:r="http://schemas.openxmlformats.org/officeDocument/2006/relationships" ref="H31" r:id="rId4"/>
    <hyperlink xmlns:r="http://schemas.openxmlformats.org/officeDocument/2006/relationships" ref="J31" r:id="rId5"/>
    <hyperlink xmlns:r="http://schemas.openxmlformats.org/officeDocument/2006/relationships" ref="L31" r:id="rId6"/>
    <hyperlink xmlns:r="http://schemas.openxmlformats.org/officeDocument/2006/relationships" ref="N31" r:id="rId7"/>
    <hyperlink xmlns:r="http://schemas.openxmlformats.org/officeDocument/2006/relationships" ref="B32" r:id="rId8"/>
    <hyperlink xmlns:r="http://schemas.openxmlformats.org/officeDocument/2006/relationships" ref="D32" r:id="rId9"/>
    <hyperlink xmlns:r="http://schemas.openxmlformats.org/officeDocument/2006/relationships" ref="F32" r:id="rId10"/>
    <hyperlink xmlns:r="http://schemas.openxmlformats.org/officeDocument/2006/relationships" ref="H32" r:id="rId11"/>
    <hyperlink xmlns:r="http://schemas.openxmlformats.org/officeDocument/2006/relationships" ref="J32" r:id="rId12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tabColor rgb="0000B0F0"/>
    <outlinePr summaryBelow="1" summaryRight="1"/>
    <pageSetUpPr/>
  </sheetPr>
  <dimension ref="A1:N20"/>
  <sheetViews>
    <sheetView workbookViewId="0">
      <selection activeCell="A1" sqref="A1"/>
    </sheetView>
  </sheetViews>
  <sheetFormatPr baseColWidth="8" defaultRowHeight="15"/>
  <cols>
    <col width="18" customWidth="1" min="1" max="1"/>
    <col width="16" customWidth="1" min="2" max="2"/>
    <col width="16" customWidth="1" min="3" max="3"/>
    <col width="16" customWidth="1" min="4" max="4"/>
    <col width="16" customWidth="1" min="5" max="5"/>
    <col width="14" customWidth="1" min="6" max="6"/>
    <col width="20" customWidth="1" min="7" max="7"/>
    <col width="20" customWidth="1" min="8" max="8"/>
  </cols>
  <sheetData>
    <row r="1" ht="36" customHeight="1">
      <c r="A1" s="94" t="inlineStr">
        <is>
          <t>DAILY DATA ENTRY FORM</t>
        </is>
      </c>
    </row>
    <row r="2" ht="28" customHeight="1">
      <c r="A2" s="95" t="inlineStr">
        <is>
          <t>Fill in shift data for the day, then click SUBMIT DAY.  The dashboard calculates all KPIs for the day, week, and month automatically.</t>
        </is>
      </c>
    </row>
    <row r="3" ht="10" customHeight="1">
      <c r="A3" s="96" t="n"/>
      <c r="B3" s="96" t="n"/>
      <c r="C3" s="96" t="n"/>
      <c r="D3" s="96" t="n"/>
      <c r="E3" s="96" t="n"/>
      <c r="F3" s="96" t="n"/>
      <c r="G3" s="96" t="n"/>
      <c r="H3" s="96" t="n"/>
    </row>
    <row r="4" ht="28" customHeight="1">
      <c r="A4" s="97" t="inlineStr">
        <is>
          <t>Business Date:</t>
        </is>
      </c>
      <c r="B4" s="98" t="n">
        <v>46141</v>
      </c>
      <c r="D4" s="99" t="inlineStr">
        <is>
          <t>(change if entering data for a past date)</t>
        </is>
      </c>
      <c r="E4" s="96" t="n"/>
      <c r="F4" s="96" t="n"/>
      <c r="G4" s="96" t="n"/>
      <c r="H4" s="96" t="n"/>
    </row>
    <row r="5" ht="8" customHeight="1">
      <c r="A5" s="96" t="n"/>
      <c r="B5" s="96" t="n"/>
      <c r="C5" s="96" t="n"/>
      <c r="D5" s="96" t="n"/>
      <c r="E5" s="96" t="n"/>
      <c r="F5" s="96" t="n"/>
      <c r="G5" s="96" t="n"/>
      <c r="H5" s="96" t="n"/>
    </row>
    <row r="6" ht="20" customHeight="1">
      <c r="A6" s="6" t="inlineStr">
        <is>
          <t xml:space="preserve">  SHIFT DATA  —  enter values for each active shift</t>
        </is>
      </c>
    </row>
    <row r="7" ht="18" customHeight="1">
      <c r="A7" s="100" t="inlineStr">
        <is>
          <t>Shift</t>
        </is>
      </c>
      <c r="B7" s="100" t="inlineStr">
        <is>
          <t>Cartons Shipped</t>
        </is>
      </c>
      <c r="C7" s="100" t="inlineStr">
        <is>
          <t>Total Staff</t>
        </is>
      </c>
      <c r="D7" s="100" t="inlineStr">
        <is>
          <t>Target / Person</t>
        </is>
      </c>
      <c r="E7" s="100" t="inlineStr">
        <is>
          <t>Audit Count</t>
        </is>
      </c>
      <c r="F7" s="96" t="n"/>
      <c r="G7" s="96" t="n"/>
      <c r="H7" s="96" t="n"/>
    </row>
    <row r="8" ht="30" customHeight="1">
      <c r="A8" s="101" t="inlineStr">
        <is>
          <t>Day</t>
        </is>
      </c>
      <c r="B8" s="102" t="n">
        <v>0</v>
      </c>
      <c r="C8" s="102" t="n">
        <v>0</v>
      </c>
      <c r="D8" s="102" t="n">
        <v>0</v>
      </c>
      <c r="E8" s="102" t="n">
        <v>0</v>
      </c>
      <c r="F8" s="96" t="n"/>
      <c r="G8" s="96" t="n"/>
      <c r="H8" s="96" t="n"/>
    </row>
    <row r="9" ht="30" customHeight="1">
      <c r="A9" s="103" t="inlineStr">
        <is>
          <t>Night</t>
        </is>
      </c>
      <c r="B9" s="104" t="n">
        <v>0</v>
      </c>
      <c r="C9" s="104" t="n">
        <v>0</v>
      </c>
      <c r="D9" s="104" t="n">
        <v>0</v>
      </c>
      <c r="E9" s="104" t="n">
        <v>0</v>
      </c>
      <c r="F9" s="96" t="n"/>
      <c r="G9" s="96" t="n"/>
      <c r="H9" s="96" t="n"/>
    </row>
    <row r="10" ht="8" customHeight="1">
      <c r="A10" s="96" t="n"/>
      <c r="B10" s="96" t="n"/>
      <c r="C10" s="96" t="n"/>
      <c r="D10" s="96" t="n"/>
      <c r="E10" s="96" t="n"/>
      <c r="F10" s="96" t="n"/>
      <c r="G10" s="96" t="n"/>
      <c r="H10" s="96" t="n"/>
    </row>
    <row r="11" ht="20" customHeight="1">
      <c r="A11" s="105" t="inlineStr">
        <is>
          <t xml:space="preserve">  EXCEPTION COUNTS  (optional — leave blank to use live values from data sheets)</t>
        </is>
      </c>
    </row>
    <row r="12" ht="24" customHeight="1">
      <c r="A12" s="106" t="inlineStr">
        <is>
          <t>HRP Open Items:</t>
        </is>
      </c>
      <c r="B12" s="107" t="inlineStr"/>
      <c r="C12" s="99" t="inlineStr">
        <is>
          <t>(blank = live count from IN_HRP)</t>
        </is>
      </c>
      <c r="D12" s="96" t="n"/>
      <c r="E12" s="96" t="n"/>
      <c r="F12" s="96" t="n"/>
      <c r="G12" s="96" t="n"/>
      <c r="H12" s="96" t="n"/>
    </row>
    <row r="13" ht="24" customHeight="1">
      <c r="A13" s="106" t="inlineStr">
        <is>
          <t>Packed Overdue:</t>
        </is>
      </c>
      <c r="B13" s="107" t="inlineStr"/>
      <c r="C13" s="99" t="inlineStr">
        <is>
          <t>(blank = live count from IN_PACKED)</t>
        </is>
      </c>
      <c r="D13" s="96" t="n"/>
      <c r="E13" s="96" t="n"/>
      <c r="F13" s="96" t="n"/>
      <c r="G13" s="96" t="n"/>
      <c r="H13" s="96" t="n"/>
    </row>
    <row r="14" ht="12" customHeight="1">
      <c r="A14" s="96" t="n"/>
      <c r="B14" s="96" t="n"/>
      <c r="C14" s="96" t="n"/>
      <c r="D14" s="96" t="n"/>
      <c r="E14" s="96" t="n"/>
      <c r="F14" s="96" t="n"/>
      <c r="G14" s="96" t="n"/>
      <c r="H14" s="96" t="n"/>
    </row>
    <row r="15" ht="30" customHeight="1">
      <c r="A15" s="96" t="n"/>
      <c r="B15" s="108" t="inlineStr">
        <is>
          <t>[ SUBMIT DAY ]</t>
        </is>
      </c>
      <c r="D15" s="96" t="n"/>
      <c r="E15" s="109" t="inlineStr">
        <is>
          <t>[ CLEAR FORM ]</t>
        </is>
      </c>
      <c r="G15" s="96" t="n"/>
      <c r="H15" s="96" t="n"/>
    </row>
    <row r="16" ht="16" customHeight="1">
      <c r="A16" s="96" t="n"/>
      <c r="B16" s="110" t="inlineStr">
        <is>
          <t>Save data and update HISTORY</t>
        </is>
      </c>
      <c r="D16" s="96" t="n"/>
      <c r="E16" s="110" t="inlineStr">
        <is>
          <t>Reset all fields to zero / today</t>
        </is>
      </c>
      <c r="G16" s="96" t="n"/>
      <c r="H16" s="96" t="n"/>
    </row>
    <row r="17" ht="8" customHeight="1">
      <c r="A17" s="96" t="n"/>
      <c r="B17" s="96" t="n"/>
      <c r="C17" s="96" t="n"/>
      <c r="D17" s="96" t="n"/>
      <c r="E17" s="96" t="n"/>
      <c r="F17" s="96" t="n"/>
      <c r="G17" s="96" t="n"/>
      <c r="H17" s="96" t="n"/>
    </row>
    <row r="18" ht="16" customHeight="1">
      <c r="A18" s="96" t="n"/>
      <c r="B18" s="111" t="inlineStr">
        <is>
          <t>&lt;&lt; Back to DASHBOARD</t>
        </is>
      </c>
      <c r="C18" s="96" t="n"/>
      <c r="D18" s="96" t="n"/>
      <c r="E18" s="96" t="n"/>
      <c r="F18" s="96" t="n"/>
      <c r="G18" s="96" t="n"/>
      <c r="H18" s="96" t="n"/>
    </row>
    <row r="19">
      <c r="A19" s="96" t="n"/>
      <c r="B19" s="96" t="n"/>
      <c r="C19" s="96" t="n"/>
      <c r="D19" s="96" t="n"/>
      <c r="E19" s="96" t="n"/>
      <c r="F19" s="96" t="n"/>
      <c r="G19" s="96" t="n"/>
      <c r="H19" s="96" t="n"/>
    </row>
    <row r="20">
      <c r="A20" s="96" t="n"/>
      <c r="B20" s="96" t="n"/>
      <c r="C20" s="96" t="n"/>
      <c r="D20" s="96" t="n"/>
      <c r="E20" s="96" t="n"/>
      <c r="F20" s="96" t="n"/>
      <c r="G20" s="96" t="n"/>
      <c r="H20" s="96" t="n"/>
    </row>
  </sheetData>
  <mergeCells count="9">
    <mergeCell ref="B16:C16"/>
    <mergeCell ref="A6:N6"/>
    <mergeCell ref="B15:C15"/>
    <mergeCell ref="E16:F16"/>
    <mergeCell ref="E15:F15"/>
    <mergeCell ref="A2:H2"/>
    <mergeCell ref="A11:H11"/>
    <mergeCell ref="A1:H1"/>
    <mergeCell ref="B4:C4"/>
  </mergeCells>
  <hyperlinks>
    <hyperlink xmlns:r="http://schemas.openxmlformats.org/officeDocument/2006/relationships" ref="B18" r:id="rId1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0070C0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40" customWidth="1" min="1" max="1"/>
  </cols>
  <sheetData>
    <row r="1">
      <c r="A1" s="112" t="inlineStr">
        <is>
          <t>PERFORMANCE CHARTS  —  All charts update automatically as data is entered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rgb="00808080"/>
    <outlinePr summaryBelow="1" summaryRight="1"/>
    <pageSetUpPr/>
  </sheetPr>
  <dimension ref="A1:E15"/>
  <sheetViews>
    <sheetView workbookViewId="0">
      <selection activeCell="A1" sqref="A1"/>
    </sheetView>
  </sheetViews>
  <sheetFormatPr baseColWidth="8" defaultRowHeight="15"/>
  <cols>
    <col width="40" customWidth="1" min="1" max="1"/>
    <col width="11" customWidth="1" min="2" max="2"/>
    <col width="40" customWidth="1" min="3" max="3"/>
    <col width="13" customWidth="1" min="4" max="4"/>
    <col width="18" customWidth="1" min="5" max="5"/>
  </cols>
  <sheetData>
    <row r="1">
      <c r="A1" s="113" t="inlineStr">
        <is>
          <t>CONFIG - DO NOT DELETE OR RENAME THIS SHEET</t>
        </is>
      </c>
    </row>
    <row r="2"/>
    <row r="3">
      <c r="A3" s="114" t="inlineStr">
        <is>
          <t>SHIFTS</t>
        </is>
      </c>
      <c r="E3" s="114" t="inlineStr">
        <is>
          <t>AREA LIST</t>
        </is>
      </c>
    </row>
    <row r="4">
      <c r="A4" s="115" t="inlineStr">
        <is>
          <t>ShiftName</t>
        </is>
      </c>
      <c r="B4" s="115" t="inlineStr">
        <is>
          <t>StartTime</t>
        </is>
      </c>
      <c r="C4" s="115" t="inlineStr">
        <is>
          <t>EndTime</t>
        </is>
      </c>
      <c r="D4" s="115" t="inlineStr">
        <is>
          <t>DaysPerWeek</t>
        </is>
      </c>
      <c r="E4" s="115" t="inlineStr">
        <is>
          <t>AreaName</t>
        </is>
      </c>
    </row>
    <row r="5">
      <c r="A5" t="inlineStr">
        <is>
          <t>Day</t>
        </is>
      </c>
      <c r="B5" t="inlineStr">
        <is>
          <t>08:00</t>
        </is>
      </c>
      <c r="C5" t="inlineStr">
        <is>
          <t>16:00</t>
        </is>
      </c>
      <c r="D5" t="n">
        <v>6</v>
      </c>
      <c r="E5" t="inlineStr">
        <is>
          <t>Auditing</t>
        </is>
      </c>
    </row>
    <row r="6">
      <c r="A6" t="inlineStr">
        <is>
          <t>Night</t>
        </is>
      </c>
      <c r="B6" t="inlineStr">
        <is>
          <t>16:00</t>
        </is>
      </c>
      <c r="C6" t="inlineStr">
        <is>
          <t>00:00</t>
        </is>
      </c>
      <c r="D6" t="n">
        <v>6</v>
      </c>
      <c r="E6" t="inlineStr">
        <is>
          <t>Manual handover</t>
        </is>
      </c>
    </row>
    <row r="7">
      <c r="E7" t="inlineStr">
        <is>
          <t>Dispatch sealing</t>
        </is>
      </c>
    </row>
    <row r="8"/>
    <row r="9">
      <c r="A9" s="114" t="inlineStr">
        <is>
          <t>KPI RULES</t>
        </is>
      </c>
    </row>
    <row r="10">
      <c r="A10" s="115" t="inlineStr">
        <is>
          <t>RuleName</t>
        </is>
      </c>
      <c r="B10" s="115" t="inlineStr">
        <is>
          <t>Value</t>
        </is>
      </c>
      <c r="C10" s="115" t="inlineStr">
        <is>
          <t>Description</t>
        </is>
      </c>
    </row>
    <row r="11">
      <c r="A11" t="inlineStr">
        <is>
          <t>HRP_MaxDaysToShow</t>
        </is>
      </c>
      <c r="B11" t="n">
        <v>1</v>
      </c>
      <c r="C11" t="inlineStr">
        <is>
          <t>Max days since available for city</t>
        </is>
      </c>
    </row>
    <row r="12">
      <c r="A12" t="inlineStr">
        <is>
          <t>Packed_MaxAgeDays</t>
        </is>
      </c>
      <c r="B12" t="n">
        <v>2</v>
      </c>
      <c r="C12" t="inlineStr">
        <is>
          <t>Max age (days) before packed item is overdue</t>
        </is>
      </c>
    </row>
    <row r="13">
      <c r="A13" t="inlineStr">
        <is>
          <t>Audit_SampleSize</t>
        </is>
      </c>
      <c r="B13" t="n">
        <v>20</v>
      </c>
      <c r="C13" t="inlineStr">
        <is>
          <t>Required number of audits per shift</t>
        </is>
      </c>
    </row>
    <row r="14">
      <c r="A14" t="inlineStr">
        <is>
          <t>Amber_Threshold</t>
        </is>
      </c>
      <c r="B14" t="n">
        <v>0.9</v>
      </c>
      <c r="C14" t="inlineStr">
        <is>
          <t>Performance % for Amber RAG</t>
        </is>
      </c>
    </row>
    <row r="15">
      <c r="A15" t="inlineStr">
        <is>
          <t>Green_Threshold</t>
        </is>
      </c>
      <c r="B15" t="n">
        <v>1</v>
      </c>
      <c r="C15" t="inlineStr">
        <is>
          <t>Performance % for Green RAG</t>
        </is>
      </c>
    </row>
  </sheetData>
  <pageMargins left="0.75" right="0.75" top="1" bottom="1" header="0.5" footer="0.5"/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xl/worksheets/sheet5.xml><?xml version="1.0" encoding="utf-8"?>
<worksheet xmlns="http://schemas.openxmlformats.org/spreadsheetml/2006/main">
  <sheetPr>
    <tabColor rgb="000070C0"/>
    <outlinePr summaryBelow="1" summaryRight="1"/>
    <pageSetUpPr/>
  </sheetPr>
  <dimension ref="A1:R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min="1" max="1"/>
    <col width="10" customWidth="1" min="2" max="2"/>
    <col width="10" customWidth="1" min="3" max="3"/>
    <col width="10" customWidth="1" min="4" max="4"/>
    <col width="15" customWidth="1" min="5" max="5"/>
    <col width="14" customWidth="1" min="6" max="6"/>
    <col width="10" customWidth="1" min="7" max="7"/>
    <col width="10" customWidth="1" min="8" max="8"/>
    <col width="28" customWidth="1" min="9" max="9"/>
    <col width="18" customWidth="1" min="10" max="10"/>
    <col width="10" customWidth="1" min="11" max="11"/>
    <col width="10" customWidth="1" min="12" max="12"/>
    <col width="12" customWidth="1" min="13" max="13"/>
    <col width="21" customWidth="1" min="14" max="14"/>
    <col width="30" customWidth="1" min="15" max="15"/>
    <col width="36" customWidth="1" min="16" max="16"/>
    <col width="40" customWidth="1" min="17" max="17"/>
    <col width="38" customWidth="1" min="18" max="18"/>
  </cols>
  <sheetData>
    <row r="1">
      <c r="A1" s="115" t="inlineStr">
        <is>
          <t>LPN</t>
        </is>
      </c>
      <c r="B1" s="115" t="inlineStr">
        <is>
          <t>PALLET</t>
        </is>
      </c>
      <c r="C1" s="115" t="inlineStr">
        <is>
          <t>STORE</t>
        </is>
      </c>
      <c r="D1" s="115" t="inlineStr">
        <is>
          <t>DIVISION</t>
        </is>
      </c>
      <c r="E1" s="115" t="inlineStr">
        <is>
          <t>FACILITY_NAME</t>
        </is>
      </c>
      <c r="F1" s="115" t="inlineStr">
        <is>
          <t>STORE_STATUS</t>
        </is>
      </c>
      <c r="G1" s="115" t="inlineStr">
        <is>
          <t>PICK_LOC</t>
        </is>
      </c>
      <c r="H1" s="115" t="inlineStr">
        <is>
          <t>UNITS</t>
        </is>
      </c>
      <c r="I1" s="115" t="inlineStr">
        <is>
          <t>LAST_UPDATE</t>
        </is>
      </c>
      <c r="J1" s="115" t="inlineStr">
        <is>
          <t>DAYS_SINCE_CLOSE</t>
        </is>
      </c>
      <c r="K1" s="115" t="inlineStr">
        <is>
          <t>LOCKS</t>
        </is>
      </c>
      <c r="L1" s="115" t="inlineStr">
        <is>
          <t>TOT_COST</t>
        </is>
      </c>
      <c r="M1" s="115" t="inlineStr">
        <is>
          <t>TOT_RETAIL</t>
        </is>
      </c>
      <c r="N1" s="115" t="inlineStr">
        <is>
          <t>LAST_PACKED</t>
        </is>
      </c>
      <c r="O1" s="115" t="inlineStr">
        <is>
          <t>AgeDays</t>
        </is>
      </c>
      <c r="P1" s="115" t="inlineStr">
        <is>
          <t>IsShipped</t>
        </is>
      </c>
      <c r="Q1" s="115" t="inlineStr">
        <is>
          <t>PackedStatus</t>
        </is>
      </c>
      <c r="R1" s="115" t="inlineStr">
        <is>
          <t>ActionFlag</t>
        </is>
      </c>
    </row>
    <row r="2">
      <c r="A2" t="inlineStr">
        <is>
          <t>LPN001</t>
        </is>
      </c>
      <c r="B2" t="inlineStr">
        <is>
          <t>PLT001</t>
        </is>
      </c>
      <c r="C2" t="inlineStr">
        <is>
          <t>STORE01</t>
        </is>
      </c>
      <c r="D2" t="inlineStr">
        <is>
          <t>DIV01</t>
        </is>
      </c>
      <c r="E2" t="inlineStr">
        <is>
          <t>FACILITY A</t>
        </is>
      </c>
      <c r="F2" t="inlineStr">
        <is>
          <t>OPEN</t>
        </is>
      </c>
      <c r="G2" t="inlineStr">
        <is>
          <t>LOC001</t>
        </is>
      </c>
      <c r="H2" t="n">
        <v>10</v>
      </c>
      <c r="I2" s="116" t="n">
        <v>46141.44734705506</v>
      </c>
      <c r="J2" t="n">
        <v>1</v>
      </c>
      <c r="K2" t="n">
        <v>0</v>
      </c>
      <c r="L2" t="n">
        <v>100</v>
      </c>
      <c r="M2" t="n">
        <v>150</v>
      </c>
      <c r="N2" s="116" t="n">
        <v>46140.41666666666</v>
      </c>
      <c r="O2">
        <f>TODAY()-INT([@LAST_PACKED])</f>
        <v/>
      </c>
      <c r="P2">
        <f>COUNTIF(tblShipped[LPN],[@LPN])&gt;0</f>
        <v/>
      </c>
      <c r="Q2">
        <f>IF([@IsShipped],"Shipped",IF([@AgeDays]&gt;2,"Overdue","Pending"))</f>
        <v/>
      </c>
      <c r="R2">
        <f>AND(NOT([@IsShipped]),[@AgeDays]&gt;2)</f>
        <v/>
      </c>
    </row>
  </sheetData>
  <conditionalFormatting sqref="Q2:Q10000">
    <cfRule type="containsText" priority="1" operator="containsText" dxfId="3" text="Overdue"/>
    <cfRule type="containsText" priority="2" operator="containsText" dxfId="4" text="Shipped"/>
    <cfRule type="containsText" priority="3" operator="containsText" dxfId="5" text="Pending"/>
  </conditionalFormatting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tabColor rgb="0000B0F0"/>
    <outlinePr summaryBelow="1" summaryRight="1"/>
    <pageSetUpPr/>
  </sheetPr>
  <dimension ref="A1:Q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min="1" max="1"/>
    <col width="31" customWidth="1" min="2" max="2"/>
    <col width="28" customWidth="1" min="3" max="3"/>
    <col width="10" customWidth="1" min="4" max="4"/>
    <col width="11" customWidth="1" min="5" max="5"/>
    <col width="14" customWidth="1" min="6" max="6"/>
    <col width="12" customWidth="1" min="7" max="7"/>
    <col width="14" customWidth="1" min="8" max="8"/>
    <col width="12" customWidth="1" min="9" max="9"/>
    <col width="18" customWidth="1" min="10" max="10"/>
    <col width="10" customWidth="1" min="11" max="11"/>
    <col width="12" customWidth="1" min="12" max="12"/>
    <col width="14" customWidth="1" min="13" max="13"/>
    <col width="39" customWidth="1" min="14" max="14"/>
    <col width="26" customWidth="1" min="15" max="15"/>
    <col width="40" customWidth="1" min="16" max="16"/>
    <col width="40" customWidth="1" min="17" max="17"/>
  </cols>
  <sheetData>
    <row r="1">
      <c r="A1" s="115" t="inlineStr">
        <is>
          <t>CATEGORY</t>
        </is>
      </c>
      <c r="B1" s="115" t="inlineStr">
        <is>
          <t>DAYS_SINCE_AVAILABLE_FOR_CITY</t>
        </is>
      </c>
      <c r="C1" s="115" t="inlineStr">
        <is>
          <t>DATE_SCANNED_TO_CITY</t>
        </is>
      </c>
      <c r="D1" s="115" t="inlineStr">
        <is>
          <t>OLPN</t>
        </is>
      </c>
      <c r="E1" s="115" t="inlineStr">
        <is>
          <t>XREF_OLPN</t>
        </is>
      </c>
      <c r="F1" s="115" t="inlineStr">
        <is>
          <t>STORE_NUMBER</t>
        </is>
      </c>
      <c r="G1" s="115" t="inlineStr">
        <is>
          <t>STORE_NAME</t>
        </is>
      </c>
      <c r="H1" s="115" t="inlineStr">
        <is>
          <t>CARTON_LOCKS</t>
        </is>
      </c>
      <c r="I1" s="115" t="inlineStr">
        <is>
          <t>LPN_STATUS</t>
        </is>
      </c>
      <c r="J1" s="115" t="inlineStr">
        <is>
          <t>STORE_ACK_STATUS</t>
        </is>
      </c>
      <c r="K1" s="115" t="inlineStr">
        <is>
          <t>UNITS</t>
        </is>
      </c>
      <c r="L1" s="115" t="inlineStr">
        <is>
          <t>COST_VALUE</t>
        </is>
      </c>
      <c r="M1" s="115" t="inlineStr">
        <is>
          <t>RETAIL_VALUE</t>
        </is>
      </c>
      <c r="N1" s="115" t="inlineStr">
        <is>
          <t>CartonID</t>
        </is>
      </c>
      <c r="O1" s="115" t="inlineStr">
        <is>
          <t>IsAcknowledged</t>
        </is>
      </c>
      <c r="P1" s="115" t="inlineStr">
        <is>
          <t>IncludeInHRP</t>
        </is>
      </c>
      <c r="Q1" s="115" t="inlineStr">
        <is>
          <t>AgeBucket</t>
        </is>
      </c>
    </row>
    <row r="2">
      <c r="A2" t="inlineStr">
        <is>
          <t>HRP</t>
        </is>
      </c>
      <c r="B2" t="n">
        <v>0</v>
      </c>
      <c r="C2" s="116" t="n">
        <v>46141.44734707346</v>
      </c>
      <c r="D2" t="inlineStr">
        <is>
          <t>OLPN001</t>
        </is>
      </c>
      <c r="E2" t="inlineStr"/>
      <c r="F2" t="inlineStr">
        <is>
          <t>STORE01</t>
        </is>
      </c>
      <c r="G2" t="inlineStr">
        <is>
          <t>Store One</t>
        </is>
      </c>
      <c r="H2" t="n">
        <v>0</v>
      </c>
      <c r="I2" t="inlineStr">
        <is>
          <t>AVAILABLE</t>
        </is>
      </c>
      <c r="J2" t="inlineStr">
        <is>
          <t>N</t>
        </is>
      </c>
      <c r="K2" t="n">
        <v>5</v>
      </c>
      <c r="L2" t="n">
        <v>50</v>
      </c>
      <c r="M2" t="n">
        <v>75</v>
      </c>
      <c r="N2">
        <f>IF([@OLPN]&lt;&gt;"",[@OLPN],[@XREF_OLPN])</f>
        <v/>
      </c>
      <c r="O2">
        <f>[@STORE_ACK_STATUS]="Y"</f>
        <v/>
      </c>
      <c r="P2">
        <f>AND([@STORE_ACK_STATUS]="N",[@DAYS_SINCE_AVAILABLE_FOR_CITY]&lt;=1)</f>
        <v/>
      </c>
      <c r="Q2">
        <f>IF([@DAYS_SINCE_AVAILABLE_FOR_CITY]=0,"&lt;24h","24h+")</f>
        <v/>
      </c>
    </row>
  </sheetData>
  <conditionalFormatting sqref="P2:P10000">
    <cfRule type="cellIs" priority="1" operator="equal" dxfId="3">
      <formula>TRUE</formula>
    </cfRule>
  </conditionalFormatting>
  <dataValidations count="1">
    <dataValidation sqref="J2:J10000" showDropDown="0" showInputMessage="1" showErrorMessage="0" allowBlank="1" promptTitle="Ack Status" prompt="Enter Y or N" type="list">
      <formula1>"Y,N"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tabColor rgb="0000B050"/>
    <outlinePr summaryBelow="1" summaryRight="1"/>
    <pageSetUpPr/>
  </sheetPr>
  <dimension ref="A1:F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0" customWidth="1" min="3" max="3"/>
    <col width="11" customWidth="1" min="4" max="4"/>
    <col width="10" customWidth="1" min="5" max="5"/>
    <col width="40" customWidth="1" min="6" max="6"/>
  </cols>
  <sheetData>
    <row r="1">
      <c r="A1" s="115" t="inlineStr">
        <is>
          <t>BusinessDate</t>
        </is>
      </c>
      <c r="B1" s="115" t="inlineStr">
        <is>
          <t>ShiftName</t>
        </is>
      </c>
      <c r="C1" s="115" t="inlineStr">
        <is>
          <t>LPN</t>
        </is>
      </c>
      <c r="D1" s="115" t="inlineStr">
        <is>
          <t>EnteredBy</t>
        </is>
      </c>
      <c r="E1" s="115" t="inlineStr">
        <is>
          <t>Notes</t>
        </is>
      </c>
      <c r="F1" s="115" t="inlineStr">
        <is>
          <t>DupFlag</t>
        </is>
      </c>
    </row>
    <row r="2">
      <c r="A2" s="117" t="n">
        <v>46141</v>
      </c>
      <c r="B2" t="inlineStr">
        <is>
          <t>Day</t>
        </is>
      </c>
      <c r="C2" t="inlineStr">
        <is>
          <t>LPN001</t>
        </is>
      </c>
      <c r="D2" t="inlineStr">
        <is>
          <t>User1</t>
        </is>
      </c>
      <c r="E2" t="inlineStr"/>
      <c r="F2">
        <f>COUNTIFS([BusinessDate],[@BusinessDate],[ShiftName],[@ShiftName],[LPN],[@LPN])&gt;1</f>
        <v/>
      </c>
    </row>
  </sheetData>
  <conditionalFormatting sqref="F2:F10000">
    <cfRule type="cellIs" priority="1" operator="equal" dxfId="5">
      <formula>TRUE</formula>
    </cfRule>
  </conditionalFormatting>
  <dataValidations count="1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tabColor rgb="0000B050"/>
    <outlinePr summaryBelow="1" summaryRight="1"/>
    <pageSetUpPr/>
  </sheetPr>
  <dimension ref="A1:D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8" customWidth="1" min="3" max="3"/>
    <col width="16" customWidth="1" min="4" max="4"/>
  </cols>
  <sheetData>
    <row r="1">
      <c r="A1" s="115" t="inlineStr">
        <is>
          <t>BusinessDate</t>
        </is>
      </c>
      <c r="B1" s="115" t="inlineStr">
        <is>
          <t>ShiftName</t>
        </is>
      </c>
      <c r="C1" s="115" t="inlineStr">
        <is>
          <t>Area</t>
        </is>
      </c>
      <c r="D1" s="115" t="inlineStr">
        <is>
          <t>StaffAvailable</t>
        </is>
      </c>
    </row>
    <row r="2">
      <c r="A2" s="117" t="n">
        <v>46141</v>
      </c>
      <c r="B2" t="inlineStr">
        <is>
          <t>Day</t>
        </is>
      </c>
      <c r="C2" t="inlineStr">
        <is>
          <t>Dispatch sealing</t>
        </is>
      </c>
      <c r="D2" t="n">
        <v>5</v>
      </c>
    </row>
  </sheetData>
  <dataValidations count="2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  <dataValidation sqref="C2:C10000" showDropDown="0" showInputMessage="0" showErrorMessage="0" allowBlank="1" type="list">
      <formula1>"Auditing,Manual handover,Dispatch sealing"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>
    <tabColor rgb="0000B050"/>
    <outlinePr summaryBelow="1" summaryRight="1"/>
    <pageSetUpPr/>
  </sheetPr>
  <dimension ref="A1:C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25" customWidth="1" min="3" max="3"/>
  </cols>
  <sheetData>
    <row r="1">
      <c r="A1" s="115" t="inlineStr">
        <is>
          <t>BusinessDate</t>
        </is>
      </c>
      <c r="B1" s="115" t="inlineStr">
        <is>
          <t>ShiftName</t>
        </is>
      </c>
      <c r="C1" s="115" t="inlineStr">
        <is>
          <t>TargetPerPersonPerShift</t>
        </is>
      </c>
    </row>
    <row r="2">
      <c r="A2" s="117" t="n">
        <v>46141</v>
      </c>
      <c r="B2" t="inlineStr">
        <is>
          <t>Day</t>
        </is>
      </c>
      <c r="C2" t="n">
        <v>50</v>
      </c>
    </row>
  </sheetData>
  <dataValidations count="1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>
    <tabColor rgb="0070AD47"/>
    <outlinePr summaryBelow="1" summaryRight="1"/>
    <pageSetUpPr/>
  </sheetPr>
  <dimension ref="A1:E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0" customWidth="1" min="3" max="3"/>
    <col width="12" customWidth="1" min="4" max="4"/>
    <col width="10" customWidth="1" min="5" max="5"/>
  </cols>
  <sheetData>
    <row r="1">
      <c r="A1" s="115" t="inlineStr">
        <is>
          <t>BusinessDate</t>
        </is>
      </c>
      <c r="B1" s="115" t="inlineStr">
        <is>
          <t>ShiftName</t>
        </is>
      </c>
      <c r="C1" s="115" t="inlineStr">
        <is>
          <t>Area</t>
        </is>
      </c>
      <c r="D1" s="115" t="inlineStr">
        <is>
          <t>AuditCount</t>
        </is>
      </c>
      <c r="E1" s="115" t="inlineStr">
        <is>
          <t>Notes</t>
        </is>
      </c>
    </row>
    <row r="2">
      <c r="A2" s="117" t="n">
        <v>46141</v>
      </c>
      <c r="B2" t="inlineStr">
        <is>
          <t>Day</t>
        </is>
      </c>
      <c r="C2" t="inlineStr">
        <is>
          <t>Auditing</t>
        </is>
      </c>
      <c r="D2" t="n">
        <v>0</v>
      </c>
      <c r="E2" t="inlineStr"/>
    </row>
  </sheetData>
  <dataValidations count="2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  <dataValidation sqref="C2:C10000" showDropDown="0" showInputMessage="0" showErrorMessage="0" allowBlank="1" type="list">
      <formula1>"Auditing,Manual handover,Dispatch sealing"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>
    <tabColor rgb="00FFC000"/>
    <outlinePr summaryBelow="1" summaryRight="1"/>
    <pageSetUpPr/>
  </sheetPr>
  <dimension ref="A1:M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40" customWidth="1" min="3" max="3"/>
    <col width="40" customWidth="1" min="4" max="4"/>
    <col width="40" customWidth="1" min="5" max="5"/>
    <col width="35" customWidth="1" min="6" max="6"/>
    <col width="40" customWidth="1" min="7" max="7"/>
    <col width="40" customWidth="1" min="8" max="8"/>
    <col width="40" customWidth="1" min="9" max="9"/>
    <col width="40" customWidth="1" min="10" max="10"/>
    <col width="40" customWidth="1" min="11" max="11"/>
    <col width="37" customWidth="1" min="12" max="12"/>
    <col width="38" customWidth="1" min="13" max="13"/>
  </cols>
  <sheetData>
    <row r="1">
      <c r="A1" s="115" t="inlineStr">
        <is>
          <t>BusinessDate</t>
        </is>
      </c>
      <c r="B1" s="115" t="inlineStr">
        <is>
          <t>ShiftName</t>
        </is>
      </c>
      <c r="C1" s="115" t="inlineStr">
        <is>
          <t>ShippedCartons</t>
        </is>
      </c>
      <c r="D1" s="115" t="inlineStr">
        <is>
          <t>TotalStaff</t>
        </is>
      </c>
      <c r="E1" s="115" t="inlineStr">
        <is>
          <t>TargetPerPerson</t>
        </is>
      </c>
      <c r="F1" s="115" t="inlineStr">
        <is>
          <t>ExpectedCartons</t>
        </is>
      </c>
      <c r="G1" s="115" t="inlineStr">
        <is>
          <t>PerformancePct</t>
        </is>
      </c>
      <c r="H1" s="115" t="inlineStr">
        <is>
          <t>RAG</t>
        </is>
      </c>
      <c r="I1" s="115" t="inlineStr">
        <is>
          <t>AuditCount</t>
        </is>
      </c>
      <c r="J1" s="115" t="inlineStr">
        <is>
          <t>AuditTarget</t>
        </is>
      </c>
      <c r="K1" s="115" t="inlineStr">
        <is>
          <t>AuditPct</t>
        </is>
      </c>
      <c r="L1" s="115" t="inlineStr">
        <is>
          <t>HRPOpen</t>
        </is>
      </c>
      <c r="M1" s="115" t="inlineStr">
        <is>
          <t>PackedOverdue</t>
        </is>
      </c>
    </row>
    <row r="2">
      <c r="A2" s="117" t="n">
        <v>46141</v>
      </c>
      <c r="B2" t="inlineStr">
        <is>
          <t>Day</t>
        </is>
      </c>
      <c r="C2">
        <f>COUNTIFS(tblShipped[BusinessDate],[@BusinessDate],tblShipped[ShiftName],[@ShiftName])</f>
        <v/>
      </c>
      <c r="D2">
        <f>SUMIFS(tblStaffing[StaffAvailable],tblStaffing[BusinessDate],[@BusinessDate],tblStaffing[ShiftName],[@ShiftName])</f>
        <v/>
      </c>
      <c r="E2">
        <f>IFERROR(INDEX(tblTargetsDaily[TargetPerPersonPerShift],MATCH(1,(tblTargetsDaily[BusinessDate]=[@BusinessDate])*(tblTargetsDaily[ShiftName]=[@ShiftName]),0)),0)</f>
        <v/>
      </c>
      <c r="F2">
        <f>[@TotalStaff]*[@TargetPerPerson]</f>
        <v/>
      </c>
      <c r="G2" s="118">
        <f>IFERROR([@ShippedCartons]/[@ExpectedCartons],0)</f>
        <v/>
      </c>
      <c r="H2">
        <f>IF([@PerformancePct]&gt;=1,"Green",IF([@PerformancePct]&gt;=0.9,"Amber","Red"))</f>
        <v/>
      </c>
      <c r="I2">
        <f>SUMIFS(tblAuditLog[AuditCount],tblAuditLog[BusinessDate],[@BusinessDate],tblAuditLog[ShiftName],[@ShiftName])</f>
        <v/>
      </c>
      <c r="J2">
        <f>IFERROR(INDEX(tblConfig_Rules[Value],MATCH("Audit_SampleSize",tblConfig_Rules[RuleName],0)),20)</f>
        <v/>
      </c>
      <c r="K2" s="118">
        <f>IFERROR([@AuditCount]/[@AuditTarget],0)</f>
        <v/>
      </c>
      <c r="L2">
        <f>COUNTIF(tblHRP[IncludeInHRP],TRUE)</f>
        <v/>
      </c>
      <c r="M2">
        <f>COUNTIF(tblPacked[ActionFlag],TRUE)</f>
        <v/>
      </c>
    </row>
  </sheetData>
  <conditionalFormatting sqref="H2:H10000">
    <cfRule type="containsText" priority="1" operator="containsText" dxfId="4" text="Green"/>
    <cfRule type="containsText" priority="2" operator="containsText" dxfId="5" text="Amber"/>
    <cfRule type="containsText" priority="3" operator="containsText" dxfId="6" text="Red"/>
  </conditionalFormatting>
  <conditionalFormatting sqref="K2:K10000">
    <cfRule type="dataBar" priority="4">
      <dataBar>
        <cfvo type="num" val="0"/>
        <cfvo type="num" val="1"/>
        <color rgb="FF70AD47"/>
      </dataBar>
    </cfRule>
  </conditionalFormatting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>
    <tabColor rgb="00FFC000"/>
    <outlinePr summaryBelow="1" summaryRight="1"/>
    <pageSetUpPr/>
  </sheetPr>
  <dimension ref="A1:E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40" customWidth="1" min="2" max="2"/>
    <col width="40" customWidth="1" min="3" max="3"/>
    <col width="40" customWidth="1" min="4" max="4"/>
    <col width="40" customWidth="1" min="5" max="5"/>
  </cols>
  <sheetData>
    <row r="1">
      <c r="A1" s="115" t="inlineStr">
        <is>
          <t>BusinessDate</t>
        </is>
      </c>
      <c r="B1" s="115" t="inlineStr">
        <is>
          <t>TotalShipped</t>
        </is>
      </c>
      <c r="C1" s="115" t="inlineStr">
        <is>
          <t>TotalStaff</t>
        </is>
      </c>
      <c r="D1" s="115" t="inlineStr">
        <is>
          <t>TotalExpected</t>
        </is>
      </c>
      <c r="E1" s="115" t="inlineStr">
        <is>
          <t>DailyPerformancePct</t>
        </is>
      </c>
    </row>
    <row r="2">
      <c r="A2" s="117" t="n">
        <v>46141</v>
      </c>
      <c r="B2">
        <f>SUMIF(tblDispatchKPI[BusinessDate],[@BusinessDate],tblDispatchKPI[ShippedCartons])</f>
        <v/>
      </c>
      <c r="C2">
        <f>SUMIF(tblDispatchKPI[BusinessDate],[@BusinessDate],tblDispatchKPI[TotalStaff])</f>
        <v/>
      </c>
      <c r="D2">
        <f>SUMIF(tblDispatchKPI[BusinessDate],[@BusinessDate],tblDispatchKPI[ExpectedCartons])</f>
        <v/>
      </c>
      <c r="E2" s="118">
        <f>IFERROR([@TotalShipped]/[@TotalExpected],0)</f>
        <v/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>
    <tabColor rgb="00C00000"/>
    <outlinePr summaryBelow="1" summaryRight="1"/>
    <pageSetUpPr/>
  </sheetPr>
  <dimension ref="A1:L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40" customWidth="1" min="1" max="1"/>
    <col width="10" customWidth="1" min="2" max="2"/>
    <col width="14" customWidth="1" min="3" max="3"/>
    <col width="12" customWidth="1" min="4" max="4"/>
    <col width="31" customWidth="1" min="5" max="5"/>
    <col width="18" customWidth="1" min="6" max="6"/>
    <col width="10" customWidth="1" min="7" max="7"/>
    <col width="12" customWidth="1" min="8" max="8"/>
    <col width="10" customWidth="1" min="9" max="9"/>
    <col width="15" customWidth="1" min="10" max="10"/>
    <col width="13" customWidth="1" min="11" max="11"/>
    <col width="10" customWidth="1" min="12" max="12"/>
  </cols>
  <sheetData>
    <row r="1">
      <c r="A1" s="119" t="inlineStr">
        <is>
          <t>CATEGORY</t>
        </is>
      </c>
      <c r="B1" s="119" t="inlineStr">
        <is>
          <t>CartonID</t>
        </is>
      </c>
      <c r="C1" s="119" t="inlineStr">
        <is>
          <t>STORE_NUMBER</t>
        </is>
      </c>
      <c r="D1" s="119" t="inlineStr">
        <is>
          <t>STORE_NAME</t>
        </is>
      </c>
      <c r="E1" s="119" t="inlineStr">
        <is>
          <t>DAYS_SINCE_AVAILABLE_FOR_CITY</t>
        </is>
      </c>
      <c r="F1" s="119" t="inlineStr">
        <is>
          <t>STORE_ACK_STATUS</t>
        </is>
      </c>
      <c r="G1" s="119" t="inlineStr">
        <is>
          <t>UNITS</t>
        </is>
      </c>
      <c r="H1" s="119" t="inlineStr">
        <is>
          <t>COST_VALUE</t>
        </is>
      </c>
      <c r="I1" s="119" t="inlineStr">
        <is>
          <t>Owner</t>
        </is>
      </c>
      <c r="J1" s="119" t="inlineStr">
        <is>
          <t>ContactedCity</t>
        </is>
      </c>
      <c r="K1" s="119" t="inlineStr">
        <is>
          <t>ContactTime</t>
        </is>
      </c>
      <c r="L1" s="119" t="inlineStr">
        <is>
          <t>NextStep</t>
        </is>
      </c>
    </row>
    <row r="2">
      <c r="A2" s="120" t="inlineStr">
        <is>
          <t>-- Populate via 'POPULATE ACTION SHEETS' button on DASHBOARD --</t>
        </is>
      </c>
    </row>
  </sheetData>
  <dataValidations count="1">
    <dataValidation sqref="J2:J10000" showDropDown="0" showInputMessage="0" showErrorMessage="0" allowBlank="1" type="list">
      <formula1>"Y,N"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C00000"/>
    <outlinePr summaryBelow="1" summaryRight="1"/>
    <pageSetUpPr/>
  </sheetPr>
  <dimension ref="A1:I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40" customWidth="1" min="1" max="1"/>
    <col width="10" customWidth="1" min="2" max="2"/>
    <col width="10" customWidth="1" min="3" max="3"/>
    <col width="10" customWidth="1" min="4" max="4"/>
    <col width="14" customWidth="1" min="5" max="5"/>
    <col width="10" customWidth="1" min="6" max="6"/>
    <col width="12" customWidth="1" min="7" max="7"/>
    <col width="10" customWidth="1" min="8" max="8"/>
    <col width="17" customWidth="1" min="9" max="9"/>
  </cols>
  <sheetData>
    <row r="1">
      <c r="A1" s="119" t="inlineStr">
        <is>
          <t>LPN</t>
        </is>
      </c>
      <c r="B1" s="119" t="inlineStr">
        <is>
          <t>STORE</t>
        </is>
      </c>
      <c r="C1" s="119" t="inlineStr">
        <is>
          <t>DIVISION</t>
        </is>
      </c>
      <c r="D1" s="119" t="inlineStr">
        <is>
          <t>AgeDays</t>
        </is>
      </c>
      <c r="E1" s="119" t="inlineStr">
        <is>
          <t>PackedStatus</t>
        </is>
      </c>
      <c r="F1" s="119" t="inlineStr">
        <is>
          <t>UNITS</t>
        </is>
      </c>
      <c r="G1" s="119" t="inlineStr">
        <is>
          <t>HoldReason</t>
        </is>
      </c>
      <c r="H1" s="119" t="inlineStr">
        <is>
          <t>Owner</t>
        </is>
      </c>
      <c r="I1" s="119" t="inlineStr">
        <is>
          <t>PlannedShipTime</t>
        </is>
      </c>
    </row>
    <row r="2">
      <c r="A2" s="120" t="inlineStr">
        <is>
          <t>-- Populate via 'POPULATE ACTION SHEETS' button on DASHBOARD --</t>
        </is>
      </c>
    </row>
  </sheetData>
  <conditionalFormatting sqref="E2:E10000">
    <cfRule type="containsText" priority="1" operator="containsText" dxfId="3" text="Overdue"/>
    <cfRule type="containsText" priority="2" operator="containsText" dxfId="5" text="Pending"/>
  </conditionalFormatting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tabColor rgb="00808080"/>
    <outlinePr summaryBelow="1" summaryRight="1"/>
    <pageSetUpPr/>
  </sheetPr>
  <dimension ref="A1:K2"/>
  <sheetViews>
    <sheetView workbookViewId="0">
      <selection activeCell="A1" sqref="A1"/>
    </sheetView>
  </sheetViews>
  <sheetFormatPr baseColWidth="8" defaultRowHeight="15"/>
  <cols>
    <col width="19" customWidth="1" min="1" max="1"/>
    <col width="14" customWidth="1" min="2" max="2"/>
    <col width="11" customWidth="1" min="3" max="3"/>
    <col width="16" customWidth="1" min="4" max="4"/>
    <col width="12" customWidth="1" min="5" max="5"/>
    <col width="17" customWidth="1" min="6" max="6"/>
    <col width="16" customWidth="1" min="7" max="7"/>
    <col width="10" customWidth="1" min="8" max="8"/>
    <col width="15" customWidth="1" min="9" max="9"/>
    <col width="21" customWidth="1" min="10" max="10"/>
    <col width="12" customWidth="1" min="11" max="11"/>
  </cols>
  <sheetData>
    <row r="1">
      <c r="A1" s="115" t="inlineStr">
        <is>
          <t>SnapshotTimestamp</t>
        </is>
      </c>
      <c r="B1" s="115" t="inlineStr">
        <is>
          <t>BusinessDate</t>
        </is>
      </c>
      <c r="C1" s="115" t="inlineStr">
        <is>
          <t>ShiftName</t>
        </is>
      </c>
      <c r="D1" s="115" t="inlineStr">
        <is>
          <t>ShippedCartons</t>
        </is>
      </c>
      <c r="E1" s="115" t="inlineStr">
        <is>
          <t>TotalStaff</t>
        </is>
      </c>
      <c r="F1" s="115" t="inlineStr">
        <is>
          <t>ExpectedCartons</t>
        </is>
      </c>
      <c r="G1" s="115" t="inlineStr">
        <is>
          <t>PerformancePct</t>
        </is>
      </c>
      <c r="H1" s="115" t="inlineStr">
        <is>
          <t>RAG</t>
        </is>
      </c>
      <c r="I1" s="115" t="inlineStr">
        <is>
          <t>HRP_OpenCount</t>
        </is>
      </c>
      <c r="J1" s="115" t="inlineStr">
        <is>
          <t>Packed_OverdueCount</t>
        </is>
      </c>
      <c r="K1" s="115" t="inlineStr">
        <is>
          <t>AuditCount</t>
        </is>
      </c>
    </row>
    <row r="2">
      <c r="A2" t="inlineStr"/>
      <c r="B2" t="inlineStr"/>
      <c r="C2" t="inlineStr"/>
      <c r="D2" t="inlineStr"/>
      <c r="E2" t="inlineStr"/>
      <c r="F2" t="inlineStr"/>
      <c r="G2" t="inlineStr"/>
      <c r="H2" t="inlineStr"/>
      <c r="I2" t="inlineStr"/>
      <c r="J2" t="inlineStr"/>
      <c r="K2" t="inlineStr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>
    <tabColor rgb="00FFC000"/>
    <outlinePr summaryBelow="1" summaryRight="1"/>
    <pageSetUpPr/>
  </sheetPr>
  <dimension ref="A1:D12"/>
  <sheetViews>
    <sheetView workbookViewId="0">
      <selection activeCell="A1" sqref="A1"/>
    </sheetView>
  </sheetViews>
  <sheetFormatPr baseColWidth="8" defaultRowHeight="15"/>
  <cols>
    <col width="40" customWidth="1" min="1" max="1"/>
    <col width="40" customWidth="1" min="2" max="2"/>
    <col width="40" customWidth="1" min="3" max="3"/>
    <col width="27" customWidth="1" min="4" max="4"/>
  </cols>
  <sheetData>
    <row r="1">
      <c r="A1" s="121" t="inlineStr">
        <is>
          <t>DATA QUALITY CHECKS</t>
        </is>
      </c>
    </row>
    <row r="2"/>
    <row r="3">
      <c r="A3" s="115" t="inlineStr">
        <is>
          <t>Check</t>
        </is>
      </c>
      <c r="B3" s="115" t="inlineStr">
        <is>
          <t>Formula / Logic</t>
        </is>
      </c>
      <c r="C3" s="115" t="inlineStr">
        <is>
          <t>Result</t>
        </is>
      </c>
      <c r="D3" s="115" t="inlineStr">
        <is>
          <t>Status</t>
        </is>
      </c>
    </row>
    <row r="4">
      <c r="A4" s="122" t="inlineStr">
        <is>
          <t>Missing CartonID in HRP</t>
        </is>
      </c>
      <c r="B4" s="122" t="inlineStr">
        <is>
          <t>'=COUNTIFS(tblHRP[CartonID],"")</t>
        </is>
      </c>
      <c r="C4" s="122">
        <f>COUNTIFS(tblHRP[CartonID],"")</f>
        <v/>
      </c>
      <c r="D4" s="122">
        <f>IF(C4=0,"OK","WARNING")</f>
        <v/>
      </c>
    </row>
    <row r="5">
      <c r="A5" s="122" t="inlineStr">
        <is>
          <t>Future dates in IN_PACKED (LAST_PACKED)</t>
        </is>
      </c>
      <c r="B5" s="122" t="inlineStr">
        <is>
          <t>'=COUNTIF(tblPacked[LAST_PACKED],"&gt;"&amp;TODAY())</t>
        </is>
      </c>
      <c r="C5" s="122">
        <f>COUNTIF(tblPacked[LAST_PACKED],"&gt;"&amp;TODAY())</f>
        <v/>
      </c>
      <c r="D5" s="122">
        <f>IF(C5=0,"OK","WARNING")</f>
        <v/>
      </c>
    </row>
    <row r="6">
      <c r="A6" s="122" t="inlineStr">
        <is>
          <t>Future dates in IN_SHIPPED_LPNS (BusinessDate)</t>
        </is>
      </c>
      <c r="B6" s="122" t="inlineStr">
        <is>
          <t>'=COUNTIF(tblShipped[BusinessDate],"&gt;"&amp;TODAY())</t>
        </is>
      </c>
      <c r="C6" s="122">
        <f>COUNTIF(tblShipped[BusinessDate],"&gt;"&amp;TODAY())</f>
        <v/>
      </c>
      <c r="D6" s="122">
        <f>IF(C6=0,"OK","WARNING")</f>
        <v/>
      </c>
    </row>
    <row r="7">
      <c r="A7" s="122" t="inlineStr">
        <is>
          <t>Duplicate LPNs in Shipped list</t>
        </is>
      </c>
      <c r="B7" s="122" t="inlineStr">
        <is>
          <t>'=COUNTIF(tblShipped[DupFlag],TRUE)</t>
        </is>
      </c>
      <c r="C7" s="122">
        <f>COUNTIF(tblShipped[DupFlag],TRUE)</f>
        <v/>
      </c>
      <c r="D7" s="122">
        <f>IF(C7=0,"OK","WARNING")</f>
        <v/>
      </c>
    </row>
    <row r="8">
      <c r="A8" s="122" t="inlineStr">
        <is>
          <t>StaffAvailable = 0 rows in Staffing</t>
        </is>
      </c>
      <c r="B8" s="122" t="inlineStr">
        <is>
          <t>'=COUNTIF(tblStaffing[StaffAvailable],0)</t>
        </is>
      </c>
      <c r="C8" s="122">
        <f>COUNTIF(tblStaffing[StaffAvailable],0)</f>
        <v/>
      </c>
      <c r="D8" s="122">
        <f>IF(C8=0,"OK","WARNING")</f>
        <v/>
      </c>
    </row>
    <row r="9">
      <c r="A9" s="122" t="inlineStr">
        <is>
          <t>Invalid ShiftName in Shipped (not Day/Night)</t>
        </is>
      </c>
      <c r="B9" s="122" t="inlineStr">
        <is>
          <t>'=SUMPRODUCT((tblShipped[ShiftName]&lt;&gt;"Day")*(tblShipped[ShiftName]&lt;&gt;"Night")*(tblShipped[ShiftName]&lt;&gt;""))</t>
        </is>
      </c>
      <c r="C9" s="122">
        <f>SUMPRODUCT((tblShipped[ShiftName]&lt;&gt;"Day")*(tblShipped[ShiftName]&lt;&gt;"Night")*(tblShipped[ShiftName]&lt;&gt;""))</f>
        <v/>
      </c>
      <c r="D9" s="122">
        <f>IF(C9=0,"OK","WARNING")</f>
        <v/>
      </c>
    </row>
    <row r="10">
      <c r="A10" s="122" t="inlineStr">
        <is>
          <t>Invalid ShiftName in Staffing</t>
        </is>
      </c>
      <c r="B10" s="122" t="inlineStr">
        <is>
          <t>'=SUMPRODUCT((tblStaffing[ShiftName]&lt;&gt;"Day")*(tblStaffing[ShiftName]&lt;&gt;"Night")*(tblStaffing[ShiftName]&lt;&gt;""))</t>
        </is>
      </c>
      <c r="C10" s="122">
        <f>SUMPRODUCT((tblStaffing[ShiftName]&lt;&gt;"Day")*(tblStaffing[ShiftName]&lt;&gt;"Night")*(tblStaffing[ShiftName]&lt;&gt;""))</f>
        <v/>
      </c>
      <c r="D10" s="122">
        <f>IF(C10=0,"OK","WARNING")</f>
        <v/>
      </c>
    </row>
    <row r="11">
      <c r="A11" s="122" t="inlineStr">
        <is>
          <t>HRP rows with IncludeInHRP=TRUE (open action items)</t>
        </is>
      </c>
      <c r="B11" s="122" t="inlineStr">
        <is>
          <t>'=COUNTIF(tblHRP[IncludeInHRP],TRUE)</t>
        </is>
      </c>
      <c r="C11" s="122">
        <f>COUNTIF(tblHRP[IncludeInHRP],TRUE)</f>
        <v/>
      </c>
      <c r="D11" s="122">
        <f>IF(C11=0,"OK","WARNING")</f>
        <v/>
      </c>
    </row>
    <row r="12">
      <c r="A12" s="122" t="inlineStr">
        <is>
          <t>Packed items where ActionFlag=TRUE (overdue)</t>
        </is>
      </c>
      <c r="B12" s="122" t="inlineStr">
        <is>
          <t>'=COUNTIF(tblPacked[ActionFlag],TRUE)</t>
        </is>
      </c>
      <c r="C12" s="122">
        <f>COUNTIF(tblPacked[ActionFlag],TRUE)</f>
        <v/>
      </c>
      <c r="D12" s="122">
        <f>IF(C12=0,"OK","WARNING")</f>
        <v/>
      </c>
    </row>
  </sheetData>
  <conditionalFormatting sqref="D4">
    <cfRule type="containsText" priority="1" operator="containsText" dxfId="7" text="WARNING"/>
    <cfRule type="containsText" priority="2" operator="containsText" dxfId="4" text="OK"/>
  </conditionalFormatting>
  <conditionalFormatting sqref="D5">
    <cfRule type="containsText" priority="3" operator="containsText" dxfId="7" text="WARNING"/>
    <cfRule type="containsText" priority="4" operator="containsText" dxfId="4" text="OK"/>
  </conditionalFormatting>
  <conditionalFormatting sqref="D6">
    <cfRule type="containsText" priority="5" operator="containsText" dxfId="7" text="WARNING"/>
    <cfRule type="containsText" priority="6" operator="containsText" dxfId="4" text="OK"/>
  </conditionalFormatting>
  <conditionalFormatting sqref="D7">
    <cfRule type="containsText" priority="7" operator="containsText" dxfId="7" text="WARNING"/>
    <cfRule type="containsText" priority="8" operator="containsText" dxfId="4" text="OK"/>
  </conditionalFormatting>
  <conditionalFormatting sqref="D8">
    <cfRule type="containsText" priority="9" operator="containsText" dxfId="7" text="WARNING"/>
    <cfRule type="containsText" priority="10" operator="containsText" dxfId="4" text="OK"/>
  </conditionalFormatting>
  <conditionalFormatting sqref="D9">
    <cfRule type="containsText" priority="11" operator="containsText" dxfId="7" text="WARNING"/>
    <cfRule type="containsText" priority="12" operator="containsText" dxfId="4" text="OK"/>
  </conditionalFormatting>
  <conditionalFormatting sqref="D10">
    <cfRule type="containsText" priority="13" operator="containsText" dxfId="7" text="WARNING"/>
    <cfRule type="containsText" priority="14" operator="containsText" dxfId="4" text="OK"/>
  </conditionalFormatting>
  <conditionalFormatting sqref="D11">
    <cfRule type="containsText" priority="15" operator="containsText" dxfId="7" text="WARNING"/>
    <cfRule type="containsText" priority="16" operator="containsText" dxfId="4" text="OK"/>
  </conditionalFormatting>
  <conditionalFormatting sqref="D12">
    <cfRule type="containsText" priority="17" operator="containsText" dxfId="7" text="WARNING"/>
    <cfRule type="containsText" priority="18" operator="containsText" dxfId="4" text="OK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2026-04-29T10:44:10Z</dcterms:created>
  <dcterms:modified xsi:type="dcterms:W3CDTF">2026-04-29T10:44:10Z</dcterms:modified>
</cp:coreProperties>
</file>