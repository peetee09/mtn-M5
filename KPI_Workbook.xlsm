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12.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DASHBOARD" sheetId="1" state="visible" r:id="rId1"/>
    <sheet name="DAILY_ENTRY" sheetId="2" state="visible" r:id="rId2"/>
    <sheet name="CHARTS" sheetId="3" state="visible" r:id="rId3"/>
    <sheet name="CONFIG" sheetId="4" state="visible" r:id="rId4"/>
    <sheet name="IN_PACKED" sheetId="5" state="visible" r:id="rId5"/>
    <sheet name="IN_HRP" sheetId="6" state="visible" r:id="rId6"/>
    <sheet name="IN_SHIPPED_LPNS" sheetId="7" state="visible" r:id="rId7"/>
    <sheet name="IN_STAFFING" sheetId="8" state="visible" r:id="rId8"/>
    <sheet name="IN_TARGETS_DAILY" sheetId="9" state="visible" r:id="rId9"/>
    <sheet name="IN_AUDIT_LOG" sheetId="10" state="visible" r:id="rId10"/>
    <sheet name="T_DISPATCH_KPI" sheetId="11" state="visible" r:id="rId11"/>
    <sheet name="T_DISPATCH_DAILY" sheetId="12" state="visible" r:id="rId12"/>
    <sheet name="ACTION_HRP" sheetId="13" state="visible" r:id="rId13"/>
    <sheet name="ACTION_PACKED" sheetId="14" state="visible" r:id="rId14"/>
    <sheet name="HISTORY" sheetId="15" state="visible" r:id="rId15"/>
    <sheet name="DATA_QUALITY" sheetId="16" state="visible" r:id="rId16"/>
  </sheets>
  <definedNames/>
  <calcPr calcId="124519" fullCalcOnLoad="1"/>
</workbook>
</file>

<file path=xl/styles.xml><?xml version="1.0" encoding="utf-8"?>
<styleSheet xmlns="http://schemas.openxmlformats.org/spreadsheetml/2006/main">
  <numFmts count="4">
    <numFmt numFmtId="164" formatCode="yyyy-mm-dd h:mm:ss"/>
    <numFmt numFmtId="165" formatCode="yyyy-mm-dd"/>
    <numFmt numFmtId="166" formatCode="0.0%"/>
    <numFmt numFmtId="167" formatCode="dd/mm/yyyy"/>
  </numFmts>
  <fonts count="45">
    <font>
      <name val="Calibri"/>
      <family val="2"/>
      <color theme="1"/>
      <sz val="11"/>
      <scheme val="minor"/>
    </font>
    <font>
      <b val="1"/>
      <color rgb="00FF0000"/>
      <sz val="12"/>
    </font>
    <font>
      <b val="1"/>
    </font>
    <font>
      <b val="1"/>
      <color rgb="FFFFFFFF"/>
      <sz val="11"/>
    </font>
    <font>
      <b val="1"/>
      <color rgb="00FFFFFF"/>
      <sz val="9"/>
    </font>
    <font>
      <b val="1"/>
      <color rgb="00191970"/>
      <sz val="8"/>
    </font>
    <font>
      <color rgb="00333333"/>
      <sz val="8"/>
    </font>
    <font>
      <b val="1"/>
      <color rgb="FF004646"/>
      <sz val="8"/>
      <u val="single"/>
    </font>
    <font>
      <i val="1"/>
      <color rgb="00808080"/>
    </font>
    <font>
      <b val="1"/>
      <color rgb="00191970"/>
      <sz val="14"/>
    </font>
    <font>
      <b val="1"/>
      <color rgb="00FFFFFF"/>
      <sz val="16"/>
    </font>
    <font>
      <i val="1"/>
      <color rgb="00FFA500"/>
      <sz val="9"/>
    </font>
    <font>
      <b val="1"/>
      <sz val="11"/>
    </font>
    <font>
      <b val="1"/>
      <color rgb="00191970"/>
      <sz val="13"/>
    </font>
    <font>
      <i val="1"/>
      <color rgb="00808080"/>
      <sz val="8"/>
    </font>
    <font>
      <b val="1"/>
      <color rgb="00FFFFFF"/>
      <sz val="11"/>
    </font>
    <font>
      <b val="1"/>
      <color rgb="00FFFFFF"/>
      <sz val="10"/>
    </font>
    <font>
      <b val="1"/>
      <sz val="12"/>
    </font>
    <font>
      <color rgb="00191970"/>
      <sz val="12"/>
    </font>
    <font>
      <b val="1"/>
      <color rgb="00191970"/>
      <sz val="10"/>
    </font>
    <font>
      <i val="1"/>
      <color rgb="00666666"/>
      <sz val="8"/>
    </font>
    <font>
      <b val="1"/>
      <color rgb="FF004646"/>
      <sz val="9"/>
      <u val="single"/>
    </font>
    <font>
      <b val="1"/>
      <color rgb="00191970"/>
      <sz val="12"/>
    </font>
    <font>
      <color rgb="00333333"/>
    </font>
    <font>
      <b val="1"/>
      <color rgb="00FFFFFF"/>
      <sz val="18"/>
    </font>
    <font>
      <b val="1"/>
      <color rgb="00666666"/>
      <sz val="9"/>
    </font>
    <font>
      <b val="1"/>
      <color rgb="000070C0"/>
      <sz val="9"/>
    </font>
    <font>
      <i val="1"/>
      <color rgb="00666666"/>
      <sz val="9"/>
    </font>
    <font>
      <b val="1"/>
      <color rgb="00FF0000"/>
      <sz val="24"/>
    </font>
    <font>
      <b val="1"/>
      <color rgb="000070C0"/>
      <sz val="24"/>
    </font>
    <font>
      <b val="1"/>
      <color rgb="00FFA500"/>
      <sz val="24"/>
    </font>
    <font>
      <b val="1"/>
      <color rgb="0050C878"/>
      <sz val="24"/>
    </font>
    <font>
      <color rgb="00333333"/>
      <sz val="9"/>
    </font>
    <font>
      <b val="1"/>
      <color rgb="0070AD47"/>
      <sz val="24"/>
    </font>
    <font>
      <b val="1"/>
      <color rgb="FF004EA8"/>
      <sz val="8"/>
      <u val="single"/>
    </font>
    <font>
      <b val="1"/>
      <color rgb="FF006400"/>
      <sz val="8"/>
      <u val="single"/>
    </font>
    <font>
      <b val="1"/>
      <color rgb="FF375623"/>
      <sz val="8"/>
      <u val="single"/>
    </font>
    <font>
      <b val="1"/>
      <color rgb="FF8B6914"/>
      <sz val="8"/>
      <u val="single"/>
    </font>
    <font>
      <b val="1"/>
      <color rgb="FF595959"/>
      <sz val="8"/>
      <u val="single"/>
    </font>
    <font>
      <b val="1"/>
      <color rgb="FF0070C0"/>
      <sz val="8"/>
      <u val="single"/>
    </font>
    <font>
      <b val="1"/>
      <color rgb="FF8B0000"/>
      <sz val="8"/>
      <u val="single"/>
    </font>
    <font>
      <i val="1"/>
      <color rgb="00FFA500"/>
      <sz val="8"/>
    </font>
    <font>
      <b val="1"/>
      <color rgb="00191970"/>
      <sz val="9"/>
    </font>
    <font>
      <b val="1"/>
      <color rgb="004682B4"/>
      <sz val="24"/>
    </font>
    <font>
      <b val="1"/>
      <color rgb="00703090"/>
      <sz val="24"/>
    </font>
  </fonts>
  <fills count="23">
    <fill>
      <patternFill/>
    </fill>
    <fill>
      <patternFill patternType="gray125"/>
    </fill>
    <fill>
      <patternFill patternType="solid">
        <fgColor rgb="FF191970"/>
      </patternFill>
    </fill>
    <fill>
      <patternFill patternType="solid">
        <fgColor rgb="FFD6E4F7"/>
      </patternFill>
    </fill>
    <fill>
      <patternFill patternType="solid">
        <fgColor rgb="FFEFF7FF"/>
      </patternFill>
    </fill>
    <fill>
      <patternFill patternType="solid">
        <fgColor rgb="FFF2F2F2"/>
      </patternFill>
    </fill>
    <fill>
      <patternFill patternType="solid">
        <fgColor rgb="FFC00000"/>
      </patternFill>
    </fill>
    <fill>
      <patternFill patternType="solid">
        <fgColor rgb="FFFFF4CC"/>
      </patternFill>
    </fill>
    <fill>
      <patternFill patternType="solid">
        <fgColor rgb="FFFFFFFF"/>
      </patternFill>
    </fill>
    <fill>
      <patternFill patternType="solid">
        <fgColor rgb="FF2E4057"/>
      </patternFill>
    </fill>
    <fill>
      <patternFill patternType="solid">
        <fgColor rgb="FF0070C0"/>
      </patternFill>
    </fill>
    <fill>
      <patternFill patternType="solid">
        <fgColor rgb="FFF7F7F7"/>
      </patternFill>
    </fill>
    <fill>
      <patternFill patternType="solid">
        <fgColor rgb="FFC8E6C9"/>
      </patternFill>
    </fill>
    <fill>
      <patternFill patternType="solid">
        <fgColor rgb="FFFFEBEE"/>
      </patternFill>
    </fill>
    <fill>
      <patternFill patternType="solid">
        <fgColor rgb="FFECF0F7"/>
      </patternFill>
    </fill>
    <fill>
      <patternFill patternType="solid">
        <fgColor rgb="FFFF0000"/>
      </patternFill>
    </fill>
    <fill>
      <patternFill patternType="solid">
        <fgColor rgb="FFFFA500"/>
      </patternFill>
    </fill>
    <fill>
      <patternFill patternType="solid">
        <fgColor rgb="FF50C878"/>
      </patternFill>
    </fill>
    <fill>
      <patternFill patternType="solid">
        <fgColor rgb="FF70AD47"/>
      </patternFill>
    </fill>
    <fill>
      <patternFill patternType="solid">
        <fgColor rgb="FF4472C4"/>
      </patternFill>
    </fill>
    <fill>
      <patternFill patternType="solid">
        <fgColor rgb="FF595959"/>
      </patternFill>
    </fill>
    <fill>
      <patternFill patternType="solid">
        <fgColor rgb="FF4682B4"/>
      </patternFill>
    </fill>
    <fill>
      <patternFill patternType="solid">
        <fgColor rgb="FF703090"/>
      </patternFill>
    </fill>
  </fills>
  <borders count="62">
    <border>
      <left/>
      <right/>
      <top/>
      <bottom/>
      <diagonal/>
    </border>
    <border>
      <left style="thin">
        <color rgb="00191970"/>
      </left>
      <top style="thin">
        <color rgb="00191970"/>
      </top>
      <bottom style="thin">
        <color rgb="00191970"/>
      </bottom>
    </border>
    <border>
      <right style="thin">
        <color rgb="00191970"/>
      </right>
      <top style="thin">
        <color rgb="00191970"/>
      </top>
      <bottom style="thin">
        <color rgb="00191970"/>
      </bottom>
    </border>
    <border>
      <left style="thin"/>
      <right style="thin"/>
      <top style="thin"/>
      <bottom style="thin"/>
    </border>
    <border>
      <left style="thin">
        <color rgb="000070C0"/>
      </left>
      <right style="thin">
        <color rgb="000070C0"/>
      </right>
      <top style="thin">
        <color rgb="000070C0"/>
      </top>
      <bottom style="thin">
        <color rgb="000070C0"/>
      </bottom>
    </border>
    <border>
      <left style="thin">
        <color rgb="00C00000"/>
      </left>
      <right style="thin">
        <color rgb="00C00000"/>
      </right>
      <top style="thin">
        <color rgb="00C00000"/>
      </top>
      <bottom style="thin">
        <color rgb="00C00000"/>
      </bottom>
    </border>
    <border>
      <left style="thin">
        <color rgb="00FF0000"/>
      </left>
      <top style="thin">
        <color rgb="00FF0000"/>
      </top>
    </border>
    <border>
      <top style="thin">
        <color rgb="00FF0000"/>
      </top>
    </border>
    <border>
      <right style="thin">
        <color rgb="00FF0000"/>
      </right>
      <top style="thin">
        <color rgb="00FF0000"/>
      </top>
    </border>
    <border>
      <left style="thin">
        <color rgb="00FF0000"/>
      </left>
    </border>
    <border>
      <right style="thin">
        <color rgb="00FF0000"/>
      </right>
    </border>
    <border>
      <left style="thin">
        <color rgb="00FF0000"/>
      </left>
      <bottom style="thin">
        <color rgb="00FF0000"/>
      </bottom>
    </border>
    <border>
      <bottom style="thin">
        <color rgb="00FF0000"/>
      </bottom>
    </border>
    <border>
      <right style="thin">
        <color rgb="00FF0000"/>
      </right>
      <bottom style="thin">
        <color rgb="00FF0000"/>
      </bottom>
    </border>
    <border>
      <left style="thin">
        <color rgb="000070C0"/>
      </left>
      <top style="thin">
        <color rgb="000070C0"/>
      </top>
    </border>
    <border>
      <top style="thin">
        <color rgb="000070C0"/>
      </top>
    </border>
    <border>
      <right style="thin">
        <color rgb="000070C0"/>
      </right>
      <top style="thin">
        <color rgb="000070C0"/>
      </top>
    </border>
    <border>
      <left style="thin">
        <color rgb="000070C0"/>
      </left>
    </border>
    <border>
      <right style="thin">
        <color rgb="000070C0"/>
      </right>
    </border>
    <border>
      <left style="thin">
        <color rgb="000070C0"/>
      </left>
      <bottom style="thin">
        <color rgb="000070C0"/>
      </bottom>
    </border>
    <border>
      <bottom style="thin">
        <color rgb="000070C0"/>
      </bottom>
    </border>
    <border>
      <right style="thin">
        <color rgb="000070C0"/>
      </right>
      <bottom style="thin">
        <color rgb="000070C0"/>
      </bottom>
    </border>
    <border>
      <left style="thin">
        <color rgb="00FFA500"/>
      </left>
      <top style="thin">
        <color rgb="00FFA500"/>
      </top>
    </border>
    <border>
      <top style="thin">
        <color rgb="00FFA500"/>
      </top>
    </border>
    <border>
      <right style="thin">
        <color rgb="00FFA500"/>
      </right>
      <top style="thin">
        <color rgb="00FFA500"/>
      </top>
    </border>
    <border>
      <left style="thin">
        <color rgb="00FFA500"/>
      </left>
    </border>
    <border>
      <right style="thin">
        <color rgb="00FFA500"/>
      </right>
    </border>
    <border>
      <left style="thin">
        <color rgb="00FFA500"/>
      </left>
      <bottom style="thin">
        <color rgb="00FFA500"/>
      </bottom>
    </border>
    <border>
      <bottom style="thin">
        <color rgb="00FFA500"/>
      </bottom>
    </border>
    <border>
      <right style="thin">
        <color rgb="00FFA500"/>
      </right>
      <bottom style="thin">
        <color rgb="00FFA500"/>
      </bottom>
    </border>
    <border>
      <left style="thin">
        <color rgb="0050C878"/>
      </left>
      <top style="thin">
        <color rgb="0050C878"/>
      </top>
    </border>
    <border>
      <top style="thin">
        <color rgb="0050C878"/>
      </top>
    </border>
    <border>
      <right style="thin">
        <color rgb="0050C878"/>
      </right>
      <top style="thin">
        <color rgb="0050C878"/>
      </top>
    </border>
    <border>
      <left style="thin">
        <color rgb="0050C878"/>
      </left>
    </border>
    <border>
      <right style="thin">
        <color rgb="0050C878"/>
      </right>
    </border>
    <border>
      <left style="thin">
        <color rgb="0050C878"/>
      </left>
      <bottom style="thin">
        <color rgb="0050C878"/>
      </bottom>
    </border>
    <border>
      <bottom style="thin">
        <color rgb="0050C878"/>
      </bottom>
    </border>
    <border>
      <right style="thin">
        <color rgb="0050C878"/>
      </right>
      <bottom style="thin">
        <color rgb="0050C878"/>
      </bottom>
    </border>
    <border>
      <left style="thin">
        <color rgb="0070AD47"/>
      </left>
      <top style="thin">
        <color rgb="0070AD47"/>
      </top>
    </border>
    <border>
      <top style="thin">
        <color rgb="0070AD47"/>
      </top>
    </border>
    <border>
      <right style="thin">
        <color rgb="0070AD47"/>
      </right>
      <top style="thin">
        <color rgb="0070AD47"/>
      </top>
    </border>
    <border>
      <left style="thin">
        <color rgb="0070AD47"/>
      </left>
    </border>
    <border>
      <right style="thin">
        <color rgb="0070AD47"/>
      </right>
    </border>
    <border>
      <left style="thin">
        <color rgb="0070AD47"/>
      </left>
      <bottom style="thin">
        <color rgb="0070AD47"/>
      </bottom>
    </border>
    <border>
      <bottom style="thin">
        <color rgb="0070AD47"/>
      </bottom>
    </border>
    <border>
      <right style="thin">
        <color rgb="0070AD47"/>
      </right>
      <bottom style="thin">
        <color rgb="0070AD47"/>
      </bottom>
    </border>
    <border>
      <left style="thin">
        <color rgb="004682B4"/>
      </left>
      <top style="thin">
        <color rgb="004682B4"/>
      </top>
    </border>
    <border>
      <top style="thin">
        <color rgb="004682B4"/>
      </top>
    </border>
    <border>
      <right style="thin">
        <color rgb="004682B4"/>
      </right>
      <top style="thin">
        <color rgb="004682B4"/>
      </top>
    </border>
    <border>
      <left style="thin">
        <color rgb="004682B4"/>
      </left>
    </border>
    <border>
      <right style="thin">
        <color rgb="004682B4"/>
      </right>
    </border>
    <border>
      <left style="thin">
        <color rgb="004682B4"/>
      </left>
      <bottom style="thin">
        <color rgb="004682B4"/>
      </bottom>
    </border>
    <border>
      <bottom style="thin">
        <color rgb="004682B4"/>
      </bottom>
    </border>
    <border>
      <right style="thin">
        <color rgb="004682B4"/>
      </right>
      <bottom style="thin">
        <color rgb="004682B4"/>
      </bottom>
    </border>
    <border>
      <left style="thin">
        <color rgb="00703090"/>
      </left>
      <top style="thin">
        <color rgb="00703090"/>
      </top>
    </border>
    <border>
      <top style="thin">
        <color rgb="00703090"/>
      </top>
    </border>
    <border>
      <right style="thin">
        <color rgb="00703090"/>
      </right>
      <top style="thin">
        <color rgb="00703090"/>
      </top>
    </border>
    <border>
      <left style="thin">
        <color rgb="00703090"/>
      </left>
    </border>
    <border>
      <right style="thin">
        <color rgb="00703090"/>
      </right>
    </border>
    <border>
      <left style="thin">
        <color rgb="00703090"/>
      </left>
      <bottom style="thin">
        <color rgb="00703090"/>
      </bottom>
    </border>
    <border>
      <bottom style="thin">
        <color rgb="00703090"/>
      </bottom>
    </border>
    <border>
      <right style="thin">
        <color rgb="00703090"/>
      </right>
      <bottom style="thin">
        <color rgb="00703090"/>
      </bottom>
    </border>
  </borders>
  <cellStyleXfs count="1">
    <xf numFmtId="0" fontId="0" fillId="0" borderId="0"/>
  </cellStyleXfs>
  <cellXfs count="127">
    <xf numFmtId="0" fontId="0" fillId="0" borderId="0" pivotButton="0" quotePrefix="0" xfId="0"/>
    <xf numFmtId="0" fontId="24" fillId="2" borderId="0" applyAlignment="1" pivotButton="0" quotePrefix="0" xfId="0">
      <alignment horizontal="center" vertical="center"/>
    </xf>
    <xf numFmtId="0" fontId="4" fillId="2" borderId="0" applyAlignment="1" pivotButton="0" quotePrefix="0" xfId="0">
      <alignment horizontal="left" vertical="center" indent="1"/>
    </xf>
    <xf numFmtId="0" fontId="25" fillId="14" borderId="0" applyAlignment="1" pivotButton="0" quotePrefix="0" xfId="0">
      <alignment horizontal="right" vertical="center"/>
    </xf>
    <xf numFmtId="0" fontId="26" fillId="14" borderId="0" applyAlignment="1" pivotButton="0" quotePrefix="0" xfId="0">
      <alignment horizontal="left" vertical="center"/>
    </xf>
    <xf numFmtId="0" fontId="27" fillId="14" borderId="0" applyAlignment="1" pivotButton="0" quotePrefix="0" xfId="0">
      <alignment horizontal="right" vertical="center"/>
    </xf>
    <xf numFmtId="0" fontId="5" fillId="3" borderId="1" applyAlignment="1" pivotButton="0" quotePrefix="0" xfId="0">
      <alignment horizontal="left" vertical="top" indent="1"/>
    </xf>
    <xf numFmtId="0" fontId="6" fillId="4" borderId="2" applyAlignment="1" pivotButton="0" quotePrefix="0" xfId="0">
      <alignment horizontal="left" vertical="top" wrapText="1" indent="1"/>
    </xf>
    <xf numFmtId="0" fontId="23" fillId="5" borderId="0" pivotButton="0" quotePrefix="0" xfId="0"/>
    <xf numFmtId="0" fontId="15" fillId="9" borderId="0" applyAlignment="1" pivotButton="0" quotePrefix="0" xfId="0">
      <alignment horizontal="left" vertical="center"/>
    </xf>
    <xf numFmtId="0" fontId="4" fillId="15" borderId="6" applyAlignment="1" pivotButton="0" quotePrefix="0" xfId="0">
      <alignment horizontal="center" vertical="center"/>
    </xf>
    <xf numFmtId="0" fontId="0" fillId="0" borderId="7" pivotButton="0" quotePrefix="0" xfId="0"/>
    <xf numFmtId="0" fontId="0" fillId="0" borderId="8" pivotButton="0" quotePrefix="0" xfId="0"/>
    <xf numFmtId="0" fontId="4" fillId="10" borderId="14" applyAlignment="1" pivotButton="0" quotePrefix="0" xfId="0">
      <alignment horizontal="center" vertical="center"/>
    </xf>
    <xf numFmtId="0" fontId="0" fillId="0" borderId="15" pivotButton="0" quotePrefix="0" xfId="0"/>
    <xf numFmtId="0" fontId="0" fillId="0" borderId="16" pivotButton="0" quotePrefix="0" xfId="0"/>
    <xf numFmtId="0" fontId="7" fillId="5" borderId="0" applyAlignment="1" pivotButton="0" quotePrefix="0" xfId="0">
      <alignment horizontal="center" vertical="center"/>
    </xf>
    <xf numFmtId="0" fontId="28" fillId="8" borderId="9" applyAlignment="1" pivotButton="0" quotePrefix="0" xfId="0">
      <alignment horizontal="center" vertical="center"/>
    </xf>
    <xf numFmtId="0" fontId="0" fillId="0" borderId="10" pivotButton="0" quotePrefix="0" xfId="0"/>
    <xf numFmtId="0" fontId="29" fillId="8" borderId="17" applyAlignment="1" pivotButton="0" quotePrefix="0" xfId="0">
      <alignment horizontal="center" vertical="center"/>
    </xf>
    <xf numFmtId="0" fontId="0" fillId="0" borderId="18" pivotButton="0" quotePrefix="0" xfId="0"/>
    <xf numFmtId="0" fontId="0" fillId="0" borderId="9" pivotButton="0" quotePrefix="0" xfId="0"/>
    <xf numFmtId="0" fontId="0" fillId="0" borderId="17" pivotButton="0" quotePrefix="0" xfId="0"/>
    <xf numFmtId="0" fontId="0" fillId="0" borderId="11" pivotButton="0" quotePrefix="0" xfId="0"/>
    <xf numFmtId="0" fontId="0" fillId="0" borderId="12" pivotButton="0" quotePrefix="0" xfId="0"/>
    <xf numFmtId="0" fontId="0" fillId="0" borderId="13" pivotButton="0" quotePrefix="0" xfId="0"/>
    <xf numFmtId="0" fontId="0" fillId="0" borderId="19" pivotButton="0" quotePrefix="0" xfId="0"/>
    <xf numFmtId="0" fontId="0" fillId="0" borderId="20" pivotButton="0" quotePrefix="0" xfId="0"/>
    <xf numFmtId="0" fontId="0" fillId="0" borderId="21" pivotButton="0" quotePrefix="0" xfId="0"/>
    <xf numFmtId="0" fontId="4" fillId="16" borderId="22" applyAlignment="1" pivotButton="0" quotePrefix="0" xfId="0">
      <alignment horizontal="center" vertical="center"/>
    </xf>
    <xf numFmtId="0" fontId="0" fillId="0" borderId="23" pivotButton="0" quotePrefix="0" xfId="0"/>
    <xf numFmtId="0" fontId="0" fillId="0" borderId="24" pivotButton="0" quotePrefix="0" xfId="0"/>
    <xf numFmtId="0" fontId="4" fillId="17" borderId="30" applyAlignment="1" pivotButton="0" quotePrefix="0" xfId="0">
      <alignment horizontal="center" vertical="center"/>
    </xf>
    <xf numFmtId="0" fontId="0" fillId="0" borderId="31" pivotButton="0" quotePrefix="0" xfId="0"/>
    <xf numFmtId="0" fontId="0" fillId="0" borderId="32" pivotButton="0" quotePrefix="0" xfId="0"/>
    <xf numFmtId="0" fontId="30" fillId="8" borderId="25" applyAlignment="1" pivotButton="0" quotePrefix="0" xfId="0">
      <alignment horizontal="center" vertical="center"/>
    </xf>
    <xf numFmtId="0" fontId="0" fillId="0" borderId="26" pivotButton="0" quotePrefix="0" xfId="0"/>
    <xf numFmtId="0" fontId="31" fillId="8" borderId="33" applyAlignment="1" pivotButton="0" quotePrefix="0" xfId="0">
      <alignment horizontal="center" vertical="center"/>
    </xf>
    <xf numFmtId="0" fontId="0" fillId="0" borderId="34" pivotButton="0" quotePrefix="0" xfId="0"/>
    <xf numFmtId="0" fontId="0" fillId="0" borderId="25" pivotButton="0" quotePrefix="0" xfId="0"/>
    <xf numFmtId="0" fontId="0" fillId="0" borderId="33"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5" pivotButton="0" quotePrefix="0" xfId="0"/>
    <xf numFmtId="0" fontId="0" fillId="0" borderId="36" pivotButton="0" quotePrefix="0" xfId="0"/>
    <xf numFmtId="0" fontId="0" fillId="0" borderId="37" pivotButton="0" quotePrefix="0" xfId="0"/>
    <xf numFmtId="0" fontId="4" fillId="10" borderId="3" applyAlignment="1" pivotButton="0" quotePrefix="0" xfId="0">
      <alignment horizontal="center" vertical="center"/>
    </xf>
    <xf numFmtId="0" fontId="32" fillId="8" borderId="3" applyAlignment="1" pivotButton="0" quotePrefix="0" xfId="0">
      <alignment horizontal="center" vertical="center"/>
    </xf>
    <xf numFmtId="0" fontId="32" fillId="11" borderId="3" applyAlignment="1" pivotButton="0" quotePrefix="0" xfId="0">
      <alignment horizontal="center" vertical="center"/>
    </xf>
    <xf numFmtId="0" fontId="15" fillId="18" borderId="0" applyAlignment="1" pivotButton="0" quotePrefix="0" xfId="0">
      <alignment horizontal="left" vertical="center"/>
    </xf>
    <xf numFmtId="0" fontId="4" fillId="18" borderId="38" applyAlignment="1" pivotButton="0" quotePrefix="0" xfId="0">
      <alignment horizontal="center" vertical="center"/>
    </xf>
    <xf numFmtId="0" fontId="0" fillId="0" borderId="39" pivotButton="0" quotePrefix="0" xfId="0"/>
    <xf numFmtId="0" fontId="0" fillId="0" borderId="40" pivotButton="0" quotePrefix="0" xfId="0"/>
    <xf numFmtId="0" fontId="33" fillId="8" borderId="41" applyAlignment="1" pivotButton="0" quotePrefix="0" xfId="0">
      <alignment horizontal="center" vertical="center"/>
    </xf>
    <xf numFmtId="0" fontId="0" fillId="0" borderId="42" pivotButton="0" quotePrefix="0" xfId="0"/>
    <xf numFmtId="0" fontId="0" fillId="0" borderId="41" pivotButton="0" quotePrefix="0" xfId="0"/>
    <xf numFmtId="0" fontId="0" fillId="0" borderId="43" pivotButton="0" quotePrefix="0" xfId="0"/>
    <xf numFmtId="0" fontId="0" fillId="0" borderId="44" pivotButton="0" quotePrefix="0" xfId="0"/>
    <xf numFmtId="0" fontId="0" fillId="0" borderId="45" pivotButton="0" quotePrefix="0" xfId="0"/>
    <xf numFmtId="0" fontId="15" fillId="19" borderId="0" applyAlignment="1" pivotButton="0" quotePrefix="0" xfId="0">
      <alignment horizontal="left" vertical="center"/>
    </xf>
    <xf numFmtId="0" fontId="4" fillId="17" borderId="3" applyAlignment="1" pivotButton="0" quotePrefix="0" xfId="0">
      <alignment horizontal="center" vertical="center"/>
    </xf>
    <xf numFmtId="0" fontId="4" fillId="16" borderId="3" applyAlignment="1" pivotButton="0" quotePrefix="0" xfId="0">
      <alignment horizontal="center" vertical="center"/>
    </xf>
    <xf numFmtId="0" fontId="4" fillId="15" borderId="3" applyAlignment="1" pivotButton="0" quotePrefix="0" xfId="0">
      <alignment horizontal="center" vertical="center"/>
    </xf>
    <xf numFmtId="0" fontId="20" fillId="5" borderId="0" applyAlignment="1" pivotButton="0" quotePrefix="0" xfId="0">
      <alignment horizontal="center" vertical="center"/>
    </xf>
    <xf numFmtId="0" fontId="15" fillId="20" borderId="0" applyAlignment="1" pivotButton="0" quotePrefix="0" xfId="0">
      <alignment horizontal="left" vertical="center"/>
    </xf>
    <xf numFmtId="0" fontId="34" fillId="8" borderId="3" applyAlignment="1" pivotButton="0" quotePrefix="0" xfId="0">
      <alignment horizontal="center" vertical="center"/>
    </xf>
    <xf numFmtId="0" fontId="35" fillId="8" borderId="3" applyAlignment="1" pivotButton="0" quotePrefix="0" xfId="0">
      <alignment horizontal="center" vertical="center"/>
    </xf>
    <xf numFmtId="0" fontId="36" fillId="8" borderId="3" applyAlignment="1" pivotButton="0" quotePrefix="0" xfId="0">
      <alignment horizontal="center" vertical="center"/>
    </xf>
    <xf numFmtId="0" fontId="37" fillId="8" borderId="3" applyAlignment="1" pivotButton="0" quotePrefix="0" xfId="0">
      <alignment horizontal="center" vertical="center"/>
    </xf>
    <xf numFmtId="0" fontId="38" fillId="8" borderId="3" applyAlignment="1" pivotButton="0" quotePrefix="0" xfId="0">
      <alignment horizontal="center" vertical="center"/>
    </xf>
    <xf numFmtId="0" fontId="39" fillId="8" borderId="3" applyAlignment="1" pivotButton="0" quotePrefix="0" xfId="0">
      <alignment horizontal="center" vertical="center"/>
    </xf>
    <xf numFmtId="0" fontId="40" fillId="8" borderId="3" applyAlignment="1" pivotButton="0" quotePrefix="0" xfId="0">
      <alignment horizontal="center" vertical="center"/>
    </xf>
    <xf numFmtId="0" fontId="15" fillId="2" borderId="0" applyAlignment="1" pivotButton="0" quotePrefix="0" xfId="0">
      <alignment horizontal="left" vertical="center"/>
    </xf>
    <xf numFmtId="0" fontId="41" fillId="7" borderId="0" applyAlignment="1" pivotButton="0" quotePrefix="0" xfId="0">
      <alignment horizontal="left" vertical="center" wrapText="1"/>
    </xf>
    <xf numFmtId="0" fontId="42" fillId="7" borderId="3" applyAlignment="1" pivotButton="0" quotePrefix="0" xfId="0">
      <alignment horizontal="center" vertical="center"/>
    </xf>
    <xf numFmtId="0" fontId="20" fillId="5" borderId="0" applyAlignment="1" pivotButton="0" quotePrefix="0" xfId="0">
      <alignment horizontal="center" vertical="center" wrapText="1"/>
    </xf>
    <xf numFmtId="0" fontId="42" fillId="12" borderId="3" applyAlignment="1" pivotButton="0" quotePrefix="0" xfId="0">
      <alignment horizontal="center" vertical="center"/>
    </xf>
    <xf numFmtId="0" fontId="15" fillId="21" borderId="0" applyAlignment="1" pivotButton="0" quotePrefix="0" xfId="0">
      <alignment horizontal="left" vertical="center"/>
    </xf>
    <xf numFmtId="0" fontId="4" fillId="21" borderId="46" applyAlignment="1" pivotButton="0" quotePrefix="0" xfId="0">
      <alignment horizontal="center" vertical="center"/>
    </xf>
    <xf numFmtId="0" fontId="0" fillId="0" borderId="47" pivotButton="0" quotePrefix="0" xfId="0"/>
    <xf numFmtId="0" fontId="0" fillId="0" borderId="48" pivotButton="0" quotePrefix="0" xfId="0"/>
    <xf numFmtId="0" fontId="43" fillId="8" borderId="49" applyAlignment="1" pivotButton="0" quotePrefix="0" xfId="0">
      <alignment horizontal="center" vertical="center"/>
    </xf>
    <xf numFmtId="0" fontId="0" fillId="0" borderId="50" pivotButton="0" quotePrefix="0" xfId="0"/>
    <xf numFmtId="0" fontId="0" fillId="0" borderId="49" pivotButton="0" quotePrefix="0" xfId="0"/>
    <xf numFmtId="0" fontId="0" fillId="0" borderId="51" pivotButton="0" quotePrefix="0" xfId="0"/>
    <xf numFmtId="0" fontId="0" fillId="0" borderId="52" pivotButton="0" quotePrefix="0" xfId="0"/>
    <xf numFmtId="0" fontId="0" fillId="0" borderId="53" pivotButton="0" quotePrefix="0" xfId="0"/>
    <xf numFmtId="0" fontId="15" fillId="22" borderId="0" applyAlignment="1" pivotButton="0" quotePrefix="0" xfId="0">
      <alignment horizontal="left" vertical="center"/>
    </xf>
    <xf numFmtId="0" fontId="4" fillId="22" borderId="54" applyAlignment="1" pivotButton="0" quotePrefix="0" xfId="0">
      <alignment horizontal="center" vertical="center"/>
    </xf>
    <xf numFmtId="0" fontId="0" fillId="0" borderId="55" pivotButton="0" quotePrefix="0" xfId="0"/>
    <xf numFmtId="0" fontId="0" fillId="0" borderId="56" pivotButton="0" quotePrefix="0" xfId="0"/>
    <xf numFmtId="0" fontId="44" fillId="8" borderId="57" applyAlignment="1" pivotButton="0" quotePrefix="0" xfId="0">
      <alignment horizontal="center" vertical="center"/>
    </xf>
    <xf numFmtId="0" fontId="0" fillId="0" borderId="58" pivotButton="0" quotePrefix="0" xfId="0"/>
    <xf numFmtId="0" fontId="0" fillId="0" borderId="57" pivotButton="0" quotePrefix="0" xfId="0"/>
    <xf numFmtId="0" fontId="0" fillId="0" borderId="59" pivotButton="0" quotePrefix="0" xfId="0"/>
    <xf numFmtId="0" fontId="0" fillId="0" borderId="60" pivotButton="0" quotePrefix="0" xfId="0"/>
    <xf numFmtId="0" fontId="0" fillId="0" borderId="61" pivotButton="0" quotePrefix="0" xfId="0"/>
    <xf numFmtId="0" fontId="10" fillId="2" borderId="0" applyAlignment="1" pivotButton="0" quotePrefix="0" xfId="0">
      <alignment horizontal="center" vertical="center"/>
    </xf>
    <xf numFmtId="0" fontId="11" fillId="7" borderId="0" applyAlignment="1" pivotButton="0" quotePrefix="0" xfId="0">
      <alignment horizontal="center" vertical="center" wrapText="1"/>
    </xf>
    <xf numFmtId="0" fontId="0" fillId="5" borderId="0" pivotButton="0" quotePrefix="0" xfId="0"/>
    <xf numFmtId="0" fontId="12" fillId="5" borderId="0" applyAlignment="1" pivotButton="0" quotePrefix="0" xfId="0">
      <alignment horizontal="right" vertical="center"/>
    </xf>
    <xf numFmtId="167" fontId="13" fillId="8" borderId="4" applyAlignment="1" pivotButton="0" quotePrefix="0" xfId="0">
      <alignment horizontal="center" vertical="center"/>
    </xf>
    <xf numFmtId="0" fontId="14" fillId="5" borderId="0" applyAlignment="1" pivotButton="0" quotePrefix="0" xfId="0">
      <alignment vertical="center"/>
    </xf>
    <xf numFmtId="0" fontId="16" fillId="10" borderId="3" applyAlignment="1" pivotButton="0" quotePrefix="0" xfId="0">
      <alignment horizontal="center" vertical="center"/>
    </xf>
    <xf numFmtId="0" fontId="17" fillId="8" borderId="4" applyAlignment="1" pivotButton="0" quotePrefix="0" xfId="0">
      <alignment horizontal="center" vertical="center"/>
    </xf>
    <xf numFmtId="0" fontId="18" fillId="8" borderId="4" applyAlignment="1" pivotButton="0" quotePrefix="0" xfId="0">
      <alignment horizontal="center" vertical="center"/>
    </xf>
    <xf numFmtId="0" fontId="17" fillId="11" borderId="4" applyAlignment="1" pivotButton="0" quotePrefix="0" xfId="0">
      <alignment horizontal="center" vertical="center"/>
    </xf>
    <xf numFmtId="0" fontId="18" fillId="11" borderId="4" applyAlignment="1" pivotButton="0" quotePrefix="0" xfId="0">
      <alignment horizontal="center" vertical="center"/>
    </xf>
    <xf numFmtId="0" fontId="15" fillId="6" borderId="0" applyAlignment="1" pivotButton="0" quotePrefix="0" xfId="0">
      <alignment horizontal="left" vertical="center"/>
    </xf>
    <xf numFmtId="0" fontId="2" fillId="5" borderId="0" applyAlignment="1" pivotButton="0" quotePrefix="0" xfId="0">
      <alignment horizontal="right" vertical="center"/>
    </xf>
    <xf numFmtId="0" fontId="0" fillId="8" borderId="5" applyAlignment="1" pivotButton="0" quotePrefix="0" xfId="0">
      <alignment horizontal="center" vertical="center"/>
    </xf>
    <xf numFmtId="0" fontId="19" fillId="12" borderId="3" applyAlignment="1" pivotButton="0" quotePrefix="0" xfId="0">
      <alignment horizontal="center" vertical="center"/>
    </xf>
    <xf numFmtId="0" fontId="19" fillId="13" borderId="3" applyAlignment="1" pivotButton="0" quotePrefix="0" xfId="0">
      <alignment horizontal="center" vertical="center"/>
    </xf>
    <xf numFmtId="0" fontId="20" fillId="5" borderId="0" applyAlignment="1" pivotButton="0" quotePrefix="0" xfId="0">
      <alignment horizontal="center"/>
    </xf>
    <xf numFmtId="0" fontId="21" fillId="5" borderId="0" pivotButton="0" quotePrefix="0" xfId="0"/>
    <xf numFmtId="0" fontId="22" fillId="0" borderId="0" pivotButton="0" quotePrefix="0" xfId="0"/>
    <xf numFmtId="0" fontId="1" fillId="0" borderId="0" pivotButton="0" quotePrefix="0" xfId="0"/>
    <xf numFmtId="0" fontId="2" fillId="0" borderId="0" pivotButton="0" quotePrefix="0" xfId="0"/>
    <xf numFmtId="0" fontId="3" fillId="2" borderId="0" applyAlignment="1" pivotButton="0" quotePrefix="0" xfId="0">
      <alignment horizontal="center" vertical="center"/>
    </xf>
    <xf numFmtId="164" fontId="0" fillId="0" borderId="0" pivotButton="0" quotePrefix="0" xfId="0"/>
    <xf numFmtId="165" fontId="0" fillId="0" borderId="0" pivotButton="0" quotePrefix="0" xfId="0"/>
    <xf numFmtId="166" fontId="0" fillId="0" borderId="0" pivotButton="0" quotePrefix="0" xfId="0"/>
    <xf numFmtId="0" fontId="3" fillId="6" borderId="0" applyAlignment="1" pivotButton="0" quotePrefix="0" xfId="0">
      <alignment horizontal="center"/>
    </xf>
    <xf numFmtId="0" fontId="8" fillId="0" borderId="0" pivotButton="0" quotePrefix="0" xfId="0"/>
    <xf numFmtId="0" fontId="9" fillId="0" borderId="0" pivotButton="0" quotePrefix="0" xfId="0"/>
    <xf numFmtId="0" fontId="0" fillId="0" borderId="3" pivotButton="0" quotePrefix="0" xfId="0"/>
  </cellXfs>
  <cellStyles count="1">
    <cellStyle name="Normal" xfId="0" builtinId="0" hidden="0"/>
  </cellStyles>
  <dxfs count="8">
    <dxf>
      <font>
        <color rgb="00FFFFFF"/>
      </font>
      <fill>
        <patternFill patternType="solid">
          <fgColor rgb="FF50C878"/>
        </patternFill>
      </fill>
    </dxf>
    <dxf>
      <font>
        <color rgb="00333333"/>
      </font>
      <fill>
        <patternFill patternType="solid">
          <fgColor rgb="FFFFA500"/>
        </patternFill>
      </fill>
    </dxf>
    <dxf>
      <font>
        <b val="1"/>
        <color rgb="00FFFFFF"/>
      </font>
      <fill>
        <patternFill patternType="solid">
          <fgColor rgb="FFFF0000"/>
        </patternFill>
      </fill>
    </dxf>
    <dxf>
      <font>
        <color rgb="00FFFFFF"/>
      </font>
      <fill>
        <patternFill patternType="solid">
          <fgColor rgb="FFFF0000"/>
        </patternFill>
      </fill>
    </dxf>
    <dxf>
      <fill>
        <patternFill patternType="solid">
          <fgColor rgb="FF50C878"/>
        </patternFill>
      </fill>
    </dxf>
    <dxf>
      <fill>
        <patternFill patternType="solid">
          <fgColor rgb="FFFFA500"/>
        </patternFill>
      </fill>
    </dxf>
    <dxf>
      <fill>
        <patternFill patternType="solid">
          <fgColor rgb="FFFF0000"/>
        </patternFill>
      </fill>
    </dxf>
    <dxf>
      <font>
        <b val="1"/>
      </font>
      <fill>
        <patternFill patternType="solid">
          <fgColor rgb="FFFFA5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styles" Target="styles.xml" Id="rId17" /><Relationship Type="http://schemas.openxmlformats.org/officeDocument/2006/relationships/theme" Target="theme/theme1.xml" Id="rId18" /><Relationship Type="http://schemas.microsoft.com/office/2006/relationships/vbaProject" Target="vbaProject.bin" Id="rId19" /></Relationships>
</file>

<file path=xl/charts/chart1.xml><?xml version="1.0" encoding="utf-8"?>
<chartSpace xmlns:a="http://schemas.openxmlformats.org/drawingml/2006/main" xmlns="http://schemas.openxmlformats.org/drawingml/2006/chart">
  <style val="10"/>
  <chart>
    <title>
      <tx>
        <rich>
          <a:bodyPr/>
          <a:p>
            <a:pPr>
              <a:defRPr/>
            </a:pPr>
            <a:r>
              <a:t>Daily Dispatch Performance % Trend</a:t>
            </a:r>
          </a:p>
        </rich>
      </tx>
    </title>
    <plotArea>
      <lineChart>
        <grouping val="standard"/>
        <ser>
          <idx val="0"/>
          <order val="0"/>
          <tx>
            <strRef>
              <f>'T_DISPATCH_DAILY'!E1</f>
            </strRef>
          </tx>
          <spPr>
            <a:ln w="20000">
              <a:solidFill>
                <a:srgbClr val="0070C0"/>
              </a:solidFill>
              <a:prstDash val="solid"/>
            </a:ln>
          </spPr>
          <marker>
            <symbol val="circle"/>
            <size val="5"/>
            <spPr>
              <a:ln>
                <a:prstDash val="solid"/>
              </a:ln>
            </spPr>
          </marker>
          <cat>
            <numRef>
              <f>'T_DISPATCH_DAILY'!$A$2:$A$1000000</f>
            </numRef>
          </cat>
          <val>
            <numRef>
              <f>'T_DISPATCH_DAILY'!$E$2:$E$1000000</f>
            </numRef>
          </val>
        </ser>
        <axId val="10"/>
        <axId val="100"/>
      </lineChart>
      <catAx>
        <axId val="10"/>
        <scaling>
          <orientation val="minMax"/>
        </scaling>
        <axPos val="l"/>
        <title>
          <tx>
            <rich>
              <a:bodyPr/>
              <a:p>
                <a:pPr>
                  <a:defRPr/>
                </a:pPr>
                <a:r>
                  <a:t>Business Date</a:t>
                </a:r>
              </a:p>
            </rich>
          </tx>
        </title>
        <majorTickMark val="none"/>
        <minorTickMark val="none"/>
        <crossAx val="100"/>
        <lblOffset val="100"/>
      </catAx>
      <valAx>
        <axId val="100"/>
        <scaling>
          <orientation val="minMax"/>
          <min val="0"/>
        </scaling>
        <axPos val="l"/>
        <majorGridlines/>
        <title>
          <tx>
            <rich>
              <a:bodyPr/>
              <a:p>
                <a:pPr>
                  <a:defRPr/>
                </a:pPr>
                <a:r>
                  <a:t>Performance %</a:t>
                </a:r>
              </a:p>
            </rich>
          </tx>
        </title>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style val="10"/>
  <chart>
    <title>
      <tx>
        <rich>
          <a:bodyPr/>
          <a:p>
            <a:pPr>
              <a:defRPr/>
            </a:pPr>
            <a:r>
              <a:t>Shipped vs Expected Cartons per Shift</a:t>
            </a:r>
          </a:p>
        </rich>
      </tx>
    </title>
    <plotArea>
      <barChart>
        <barDir val="col"/>
        <grouping val="clustered"/>
        <ser>
          <idx val="0"/>
          <order val="0"/>
          <tx>
            <strRef>
              <f>'T_DISPATCH_KPI'!C1</f>
            </strRef>
          </tx>
          <spPr>
            <a:solidFill>
              <a:srgbClr val="0070C0"/>
            </a:solidFill>
            <a:ln>
              <a:prstDash val="solid"/>
            </a:ln>
          </spPr>
          <cat>
            <numRef>
              <f>'T_DISPATCH_KPI'!$B$2:$B$1000000</f>
            </numRef>
          </cat>
          <val>
            <numRef>
              <f>'T_DISPATCH_KPI'!$C$2:$C$1000000</f>
            </numRef>
          </val>
        </ser>
        <ser>
          <idx val="1"/>
          <order val="1"/>
          <tx>
            <strRef>
              <f>'T_DISPATCH_KPI'!F1</f>
            </strRef>
          </tx>
          <spPr>
            <a:solidFill>
              <a:srgbClr val="50C878"/>
            </a:solidFill>
            <a:ln>
              <a:prstDash val="solid"/>
            </a:ln>
          </spPr>
          <cat>
            <numRef>
              <f>'T_DISPATCH_KPI'!$B$2:$B$1000000</f>
            </numRef>
          </cat>
          <val>
            <numRef>
              <f>'T_DISPATCH_KPI'!$F$2:$F$1000000</f>
            </numRef>
          </val>
        </ser>
        <gapWidth val="150"/>
        <axId val="10"/>
        <axId val="100"/>
      </barChart>
      <catAx>
        <axId val="10"/>
        <scaling>
          <orientation val="minMax"/>
        </scaling>
        <axPos val="l"/>
        <title>
          <tx>
            <rich>
              <a:bodyPr/>
              <a:p>
                <a:pPr>
                  <a:defRPr/>
                </a:pPr>
                <a:r>
                  <a:t>Shift</a:t>
                </a:r>
              </a:p>
            </rich>
          </tx>
        </title>
        <majorTickMark val="none"/>
        <minorTickMark val="none"/>
        <crossAx val="100"/>
        <lblOffset val="100"/>
      </catAx>
      <valAx>
        <axId val="100"/>
        <scaling>
          <orientation val="minMax"/>
        </scaling>
        <axPos val="l"/>
        <majorGridlines/>
        <title>
          <tx>
            <rich>
              <a:bodyPr/>
              <a:p>
                <a:pPr>
                  <a:defRPr/>
                </a:pPr>
                <a:r>
                  <a:t>Cartons</a:t>
                </a:r>
              </a:p>
            </rich>
          </tx>
        </title>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style val="10"/>
  <chart>
    <title>
      <tx>
        <rich>
          <a:bodyPr/>
          <a:p>
            <a:pPr>
              <a:defRPr/>
            </a:pPr>
            <a:r>
              <a:t>HRP Open Items &amp; Packed Overdue — Historical Trend</a:t>
            </a:r>
          </a:p>
        </rich>
      </tx>
    </title>
    <plotArea>
      <barChart>
        <barDir val="col"/>
        <grouping val="clustered"/>
        <ser>
          <idx val="0"/>
          <order val="0"/>
          <tx>
            <strRef>
              <f>'HISTORY'!I1</f>
            </strRef>
          </tx>
          <spPr>
            <a:solidFill>
              <a:srgbClr val="FF0000"/>
            </a:solidFill>
            <a:ln>
              <a:prstDash val="solid"/>
            </a:ln>
          </spPr>
          <cat>
            <numRef>
              <f>'HISTORY'!$B$2:$B$1000000</f>
            </numRef>
          </cat>
          <val>
            <numRef>
              <f>'HISTORY'!$I$2:$I$1000000</f>
            </numRef>
          </val>
        </ser>
        <ser>
          <idx val="1"/>
          <order val="1"/>
          <tx>
            <strRef>
              <f>'HISTORY'!J1</f>
            </strRef>
          </tx>
          <spPr>
            <a:solidFill>
              <a:srgbClr val="FFA500"/>
            </a:solidFill>
            <a:ln>
              <a:prstDash val="solid"/>
            </a:ln>
          </spPr>
          <cat>
            <numRef>
              <f>'HISTORY'!$B$2:$B$1000000</f>
            </numRef>
          </cat>
          <val>
            <numRef>
              <f>'HISTORY'!$J$2:$J$1000000</f>
            </numRef>
          </val>
        </ser>
        <gapWidth val="150"/>
        <axId val="10"/>
        <axId val="100"/>
      </barChart>
      <catAx>
        <axId val="10"/>
        <scaling>
          <orientation val="minMax"/>
        </scaling>
        <axPos val="l"/>
        <title>
          <tx>
            <rich>
              <a:bodyPr/>
              <a:p>
                <a:pPr>
                  <a:defRPr/>
                </a:pPr>
                <a:r>
                  <a:t>Snapshot Date</a:t>
                </a:r>
              </a:p>
            </rich>
          </tx>
        </title>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4.xml><?xml version="1.0" encoding="utf-8"?>
<chartSpace xmlns:a="http://schemas.openxmlformats.org/drawingml/2006/main" xmlns="http://schemas.openxmlformats.org/drawingml/2006/chart">
  <style val="10"/>
  <chart>
    <title>
      <tx>
        <rich>
          <a:bodyPr/>
          <a:p>
            <a:pPr>
              <a:defRPr/>
            </a:pPr>
            <a:r>
              <a:t>Daily Staff Count Trend</a:t>
            </a:r>
          </a:p>
        </rich>
      </tx>
    </title>
    <plotArea>
      <lineChart>
        <grouping val="standard"/>
        <ser>
          <idx val="0"/>
          <order val="0"/>
          <tx>
            <strRef>
              <f>'T_DISPATCH_DAILY'!C1</f>
            </strRef>
          </tx>
          <spPr>
            <a:ln w="20000">
              <a:solidFill>
                <a:srgbClr val="50C878"/>
              </a:solidFill>
              <a:prstDash val="solid"/>
            </a:ln>
          </spPr>
          <marker>
            <symbol val="square"/>
            <size val="5"/>
            <spPr>
              <a:ln>
                <a:prstDash val="solid"/>
              </a:ln>
            </spPr>
          </marker>
          <cat>
            <numRef>
              <f>'T_DISPATCH_DAILY'!$A$2:$A$1000000</f>
            </numRef>
          </cat>
          <val>
            <numRef>
              <f>'T_DISPATCH_DAILY'!$C$2:$C$1000000</f>
            </numRef>
          </val>
        </ser>
        <axId val="10"/>
        <axId val="100"/>
      </lineChart>
      <catAx>
        <axId val="10"/>
        <scaling>
          <orientation val="minMax"/>
        </scaling>
        <axPos val="l"/>
        <title>
          <tx>
            <rich>
              <a:bodyPr/>
              <a:p>
                <a:pPr>
                  <a:defRPr/>
                </a:pPr>
                <a:r>
                  <a:t>Business Date</a:t>
                </a:r>
              </a:p>
            </rich>
          </tx>
        </title>
        <majorTickMark val="none"/>
        <minorTickMark val="none"/>
        <crossAx val="100"/>
        <lblOffset val="100"/>
      </catAx>
      <valAx>
        <axId val="100"/>
        <scaling>
          <orientation val="minMax"/>
        </scaling>
        <axPos val="l"/>
        <majorGridlines/>
        <title>
          <tx>
            <rich>
              <a:bodyPr/>
              <a:p>
                <a:pPr>
                  <a:defRPr/>
                </a:pPr>
                <a:r>
                  <a:t>Staff Count</a:t>
                </a:r>
              </a:p>
            </rich>
          </tx>
        </title>
        <majorTickMark val="none"/>
        <minorTickMark val="none"/>
        <crossAx val="10"/>
      </valAx>
    </plotArea>
    <legend>
      <legendPos val="r"/>
    </legend>
    <plotVisOnly val="1"/>
    <dispBlanksAs val="gap"/>
  </chart>
</chartSpace>
</file>

<file path=xl/charts/chart5.xml><?xml version="1.0" encoding="utf-8"?>
<chartSpace xmlns:a="http://schemas.openxmlformats.org/drawingml/2006/main" xmlns="http://schemas.openxmlformats.org/drawingml/2006/chart">
  <style val="10"/>
  <chart>
    <title>
      <tx>
        <rich>
          <a:bodyPr/>
          <a:p>
            <a:pPr>
              <a:defRPr/>
            </a:pPr>
            <a:r>
              <a:t>Audit Compliance % per Shift</a:t>
            </a:r>
          </a:p>
        </rich>
      </tx>
    </title>
    <plotArea>
      <lineChart>
        <grouping val="standard"/>
        <ser>
          <idx val="0"/>
          <order val="0"/>
          <tx>
            <strRef>
              <f>'T_DISPATCH_KPI'!K1</f>
            </strRef>
          </tx>
          <spPr>
            <a:ln w="20000">
              <a:solidFill>
                <a:srgbClr val="70AD47"/>
              </a:solidFill>
              <a:prstDash val="solid"/>
            </a:ln>
          </spPr>
          <marker>
            <symbol val="diamond"/>
            <size val="5"/>
            <spPr>
              <a:ln>
                <a:prstDash val="solid"/>
              </a:ln>
            </spPr>
          </marker>
          <cat>
            <numRef>
              <f>'T_DISPATCH_KPI'!$B$2:$B$1000000</f>
            </numRef>
          </cat>
          <val>
            <numRef>
              <f>'T_DISPATCH_KPI'!$K$2:$K$1000000</f>
            </numRef>
          </val>
        </ser>
        <axId val="10"/>
        <axId val="100"/>
      </lineChart>
      <catAx>
        <axId val="10"/>
        <scaling>
          <orientation val="minMax"/>
        </scaling>
        <axPos val="l"/>
        <title>
          <tx>
            <rich>
              <a:bodyPr/>
              <a:p>
                <a:pPr>
                  <a:defRPr/>
                </a:pPr>
                <a:r>
                  <a:t>Shift</a:t>
                </a:r>
              </a:p>
            </rich>
          </tx>
        </title>
        <majorTickMark val="none"/>
        <minorTickMark val="none"/>
        <crossAx val="100"/>
        <lblOffset val="100"/>
      </catAx>
      <valAx>
        <axId val="100"/>
        <scaling>
          <orientation val="minMax"/>
          <min val="0"/>
        </scaling>
        <axPos val="l"/>
        <majorGridlines/>
        <title>
          <tx>
            <rich>
              <a:bodyPr/>
              <a:p>
                <a:pPr>
                  <a:defRPr/>
                </a:pPr>
                <a:r>
                  <a:t>Audit %</a:t>
                </a:r>
              </a:p>
            </rich>
          </tx>
        </title>
        <numFmt formatCode="0%" sourceLinked="0"/>
        <majorTickMark val="none"/>
        <minorTickMark val="none"/>
        <crossAx val="10"/>
      </valAx>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0</col>
      <colOff>0</colOff>
      <row>2</row>
      <rowOff>0</rowOff>
    </from>
    <ext cx="8640000" cy="5040000"/>
    <graphicFrame>
      <nvGraphicFramePr>
        <cNvPr id="1" name="Chart 1"/>
        <cNvGraphicFramePr/>
      </nvGraphicFramePr>
      <xfrm/>
      <a:graphic>
        <a:graphicData uri="http://schemas.openxmlformats.org/drawingml/2006/chart">
          <c:chart r:id="rId1"/>
        </a:graphicData>
      </a:graphic>
    </graphicFrame>
    <clientData/>
  </oneCellAnchor>
  <oneCellAnchor>
    <from>
      <col>12</col>
      <colOff>0</colOff>
      <row>2</row>
      <rowOff>0</rowOff>
    </from>
    <ext cx="8640000" cy="5040000"/>
    <graphicFrame>
      <nvGraphicFramePr>
        <cNvPr id="2" name="Chart 2"/>
        <cNvGraphicFramePr/>
      </nvGraphicFramePr>
      <xfrm/>
      <a:graphic>
        <a:graphicData uri="http://schemas.openxmlformats.org/drawingml/2006/chart">
          <c:chart r:id="rId2"/>
        </a:graphicData>
      </a:graphic>
    </graphicFrame>
    <clientData/>
  </oneCellAnchor>
  <oneCellAnchor>
    <from>
      <col>0</col>
      <colOff>0</colOff>
      <row>32</row>
      <rowOff>0</rowOff>
    </from>
    <ext cx="8640000" cy="5040000"/>
    <graphicFrame>
      <nvGraphicFramePr>
        <cNvPr id="3" name="Chart 3"/>
        <cNvGraphicFramePr/>
      </nvGraphicFramePr>
      <xfrm/>
      <a:graphic>
        <a:graphicData uri="http://schemas.openxmlformats.org/drawingml/2006/chart">
          <c:chart r:id="rId3"/>
        </a:graphicData>
      </a:graphic>
    </graphicFrame>
    <clientData/>
  </oneCellAnchor>
  <oneCellAnchor>
    <from>
      <col>12</col>
      <colOff>0</colOff>
      <row>32</row>
      <rowOff>0</rowOff>
    </from>
    <ext cx="8640000" cy="5040000"/>
    <graphicFrame>
      <nvGraphicFramePr>
        <cNvPr id="4" name="Chart 4"/>
        <cNvGraphicFramePr/>
      </nvGraphicFramePr>
      <xfrm/>
      <a:graphic>
        <a:graphicData uri="http://schemas.openxmlformats.org/drawingml/2006/chart">
          <c:chart r:id="rId4"/>
        </a:graphicData>
      </a:graphic>
    </graphicFrame>
    <clientData/>
  </oneCellAnchor>
  <oneCellAnchor>
    <from>
      <col>0</col>
      <colOff>0</colOff>
      <row>62</row>
      <rowOff>0</rowOff>
    </from>
    <ext cx="8640000" cy="5040000"/>
    <graphicFrame>
      <nvGraphicFramePr>
        <cNvPr id="5" name="Chart 5"/>
        <cNvGraphicFramePr/>
      </nvGraphicFramePr>
      <xfrm/>
      <a:graphic>
        <a:graphicData uri="http://schemas.openxmlformats.org/drawingml/2006/chart">
          <c:chart r:id="rId5"/>
        </a:graphicData>
      </a:graphic>
    </graphicFrame>
    <clientData/>
  </oneCellAnchor>
</wsDr>
</file>

<file path=xl/tables/table1.xml><?xml version="1.0" encoding="utf-8"?>
<table xmlns="http://schemas.openxmlformats.org/spreadsheetml/2006/main" id="1" name="tblConfig_Shifts" displayName="tblConfig_Shifts" ref="A4:D6" headerRowCount="1">
  <autoFilter ref="A4:D6"/>
  <tableColumns count="4">
    <tableColumn id="1" name="ShiftName"/>
    <tableColumn id="2" name="StartTime"/>
    <tableColumn id="3" name="EndTime"/>
    <tableColumn id="4" name="DaysPerWeek"/>
  </tableColumns>
  <tableStyleInfo name="TableStyleMedium2" showFirstColumn="0" showLastColumn="0" showRowStripes="1" showColumnStripes="0"/>
</table>
</file>

<file path=xl/tables/table2.xml><?xml version="1.0" encoding="utf-8"?>
<table xmlns="http://schemas.openxmlformats.org/spreadsheetml/2006/main" id="2" name="tblConfig_Rules" displayName="tblConfig_Rules" ref="A10:C15" headerRowCount="1">
  <autoFilter ref="A10:C15"/>
  <tableColumns count="3">
    <tableColumn id="1" name="RuleName"/>
    <tableColumn id="2" name="Value"/>
    <tableColumn id="3" name="Description"/>
  </tableColumns>
  <tableStyleInfo name="TableStyleMedium2" showFirstColumn="0" showLastColumn="0" showRowStripes="1" showColumnStripes="0"/>
</table>
</file>

<file path=xl/tables/table3.xml><?xml version="1.0" encoding="utf-8"?>
<table xmlns="http://schemas.openxmlformats.org/spreadsheetml/2006/main" id="3" name="tblConfig_Areas" displayName="tblConfig_Areas" ref="E4:E7" headerRowCount="1">
  <autoFilter ref="E4:E7"/>
  <tableColumns count="1">
    <tableColumn id="5" name="AreaName"/>
  </tableColumns>
  <tableStyleInfo name="TableStyleMedium2" showFirstColumn="0" showLastColumn="0" showRowStripes="1" showColumnStripes="0"/>
</table>
</file>

<file path=xl/tables/table4.xml><?xml version="1.0" encoding="utf-8"?>
<table xmlns="http://schemas.openxmlformats.org/spreadsheetml/2006/main" id="4" name="tblPacked" displayName="tblPacked" ref="A1:R2" headerRowCount="1">
  <autoFilter ref="A1:R2"/>
  <tableColumns count="18">
    <tableColumn id="1" name="LPN"/>
    <tableColumn id="2" name="PALLET"/>
    <tableColumn id="3" name="STORE"/>
    <tableColumn id="4" name="DIVISION"/>
    <tableColumn id="5" name="FACILITY_NAME"/>
    <tableColumn id="6" name="STORE_STATUS"/>
    <tableColumn id="7" name="PICK_LOC"/>
    <tableColumn id="8" name="UNITS"/>
    <tableColumn id="9" name="LAST_UPDATE"/>
    <tableColumn id="10" name="DAYS_SINCE_CLOSE"/>
    <tableColumn id="11" name="LOCKS"/>
    <tableColumn id="12" name="TOT_COST"/>
    <tableColumn id="13" name="TOT_RETAIL"/>
    <tableColumn id="14" name="LAST_PACKED"/>
    <tableColumn id="15" name="AgeDays"/>
    <tableColumn id="16" name="IsShipped"/>
    <tableColumn id="17" name="PackedStatus"/>
    <tableColumn id="18" name="ActionFlag"/>
  </tableColumns>
  <tableStyleInfo name="TableStyleMedium6" showFirstColumn="0" showLastColumn="0" showRowStripes="1" showColumnStripes="0"/>
</table>
</file>

<file path=xl/tables/table5.xml><?xml version="1.0" encoding="utf-8"?>
<table xmlns="http://schemas.openxmlformats.org/spreadsheetml/2006/main" id="5" name="tblHRP" displayName="tblHRP" ref="A1:Q2" headerRowCount="1">
  <autoFilter ref="A1:Q2"/>
  <tableColumns count="17">
    <tableColumn id="1" name="CATEGORY"/>
    <tableColumn id="2" name="DAYS_SINCE_AVAILABLE_FOR_CITY"/>
    <tableColumn id="3" name="DATE_SCANNED_TO_CITY"/>
    <tableColumn id="4" name="OLPN"/>
    <tableColumn id="5" name="XREF_OLPN"/>
    <tableColumn id="6" name="STORE_NUMBER"/>
    <tableColumn id="7" name="STORE_NAME"/>
    <tableColumn id="8" name="CARTON_LOCKS"/>
    <tableColumn id="9" name="LPN_STATUS"/>
    <tableColumn id="10" name="STORE_ACK_STATUS"/>
    <tableColumn id="11" name="UNITS"/>
    <tableColumn id="12" name="COST_VALUE"/>
    <tableColumn id="13" name="RETAIL_VALUE"/>
    <tableColumn id="14" name="CartonID"/>
    <tableColumn id="15" name="IsAcknowledged"/>
    <tableColumn id="16" name="IncludeInHRP"/>
    <tableColumn id="17" name="AgeBucket"/>
  </tableColumns>
  <tableStyleInfo name="TableStyleMedium7" showFirstColumn="0" showLastColumn="0" showRowStripes="1" showColumnStripes="0"/>
</table>
</file>

<file path=xl/tables/table6.xml><?xml version="1.0" encoding="utf-8"?>
<table xmlns="http://schemas.openxmlformats.org/spreadsheetml/2006/main" id="6" name="tblShipped" displayName="tblShipped" ref="A1:F2" headerRowCount="1">
  <autoFilter ref="A1:F2"/>
  <tableColumns count="6">
    <tableColumn id="1" name="BusinessDate"/>
    <tableColumn id="2" name="ShiftName"/>
    <tableColumn id="3" name="LPN"/>
    <tableColumn id="4" name="EnteredBy"/>
    <tableColumn id="5" name="Notes"/>
    <tableColumn id="6" name="DupFlag"/>
  </tableColumns>
  <tableStyleInfo name="TableStyleMedium9" showFirstColumn="0" showLastColumn="0" showRowStripes="1" showColumnStripes="0"/>
</table>
</file>

<file path=xl/tables/table7.xml><?xml version="1.0" encoding="utf-8"?>
<table xmlns="http://schemas.openxmlformats.org/spreadsheetml/2006/main" id="7" name="tblStaffing" displayName="tblStaffing" ref="A1:D2" headerRowCount="1">
  <autoFilter ref="A1:D2"/>
  <tableColumns count="4">
    <tableColumn id="1" name="BusinessDate"/>
    <tableColumn id="2" name="ShiftName"/>
    <tableColumn id="3" name="Area"/>
    <tableColumn id="4" name="StaffAvailable"/>
  </tableColumns>
  <tableStyleInfo name="TableStyleMedium4" showFirstColumn="0" showLastColumn="0" showRowStripes="1" showColumnStripes="0"/>
</table>
</file>

<file path=xl/tables/table8.xml><?xml version="1.0" encoding="utf-8"?>
<table xmlns="http://schemas.openxmlformats.org/spreadsheetml/2006/main" id="8" name="tblTargetsDaily" displayName="tblTargetsDaily" ref="A1:C2" headerRowCount="1">
  <autoFilter ref="A1:C2"/>
  <tableColumns count="3">
    <tableColumn id="1" name="BusinessDate"/>
    <tableColumn id="2" name="ShiftName"/>
    <tableColumn id="3" name="TargetPerPersonPerShift"/>
  </tableColumns>
  <tableStyleInfo name="TableStyleMedium4" showFirstColumn="0" showLastColumn="0" showRowStripes="1" showColumnStripes="0"/>
</table>
</file>

<file path=xl/tables/table9.xml><?xml version="1.0" encoding="utf-8"?>
<table xmlns="http://schemas.openxmlformats.org/spreadsheetml/2006/main" id="9" name="tblAuditLog" displayName="tblAuditLog" ref="A1:E2" headerRowCount="1">
  <autoFilter ref="A1:E2"/>
  <tableColumns count="5">
    <tableColumn id="1" name="BusinessDate"/>
    <tableColumn id="2" name="ShiftName"/>
    <tableColumn id="3" name="Area"/>
    <tableColumn id="4" name="AuditCount"/>
    <tableColumn id="5" name="Notes"/>
  </tableColumns>
  <tableStyleInfo name="TableStyleMedium4" showFirstColumn="0" showLastColumn="0" showRowStripes="1" showColumnStripes="0"/>
</table>
</file>

<file path=xl/tables/table10.xml><?xml version="1.0" encoding="utf-8"?>
<table xmlns="http://schemas.openxmlformats.org/spreadsheetml/2006/main" id="10" name="tblDispatchKPI" displayName="tblDispatchKPI" ref="A1:M2" headerRowCount="1">
  <autoFilter ref="A1:M2"/>
  <tableColumns count="13">
    <tableColumn id="1" name="BusinessDate"/>
    <tableColumn id="2" name="ShiftName"/>
    <tableColumn id="3" name="ShippedCartons"/>
    <tableColumn id="4" name="TotalStaff"/>
    <tableColumn id="5" name="TargetPerPerson"/>
    <tableColumn id="6" name="ExpectedCartons"/>
    <tableColumn id="7" name="PerformancePct"/>
    <tableColumn id="8" name="RAG"/>
    <tableColumn id="9" name="AuditCount"/>
    <tableColumn id="10" name="AuditTarget"/>
    <tableColumn id="11" name="AuditPct"/>
    <tableColumn id="12" name="HRPOpen"/>
    <tableColumn id="13" name="PackedOverdue"/>
  </tableColumns>
  <tableStyleInfo name="TableStyleMedium2" showFirstColumn="0" showLastColumn="0" showRowStripes="1" showColumnStripes="0"/>
</table>
</file>

<file path=xl/tables/table11.xml><?xml version="1.0" encoding="utf-8"?>
<table xmlns="http://schemas.openxmlformats.org/spreadsheetml/2006/main" id="11" name="tblDispatchDaily" displayName="tblDispatchDaily" ref="A1:E2" headerRowCount="1">
  <autoFilter ref="A1:E2"/>
  <tableColumns count="5">
    <tableColumn id="1" name="BusinessDate"/>
    <tableColumn id="2" name="TotalShipped"/>
    <tableColumn id="3" name="TotalStaff"/>
    <tableColumn id="4" name="TotalExpected"/>
    <tableColumn id="5" name="DailyPerformancePct"/>
  </tableColumns>
  <tableStyleInfo name="TableStyleMedium2" showFirstColumn="0" showLastColumn="0" showRowStripes="1" showColumnStripes="0"/>
</table>
</file>

<file path=xl/tables/table12.xml><?xml version="1.0" encoding="utf-8"?>
<table xmlns="http://schemas.openxmlformats.org/spreadsheetml/2006/main" id="12" name="tblHistory" displayName="tblHistory" ref="A1:K2" headerRowCount="1">
  <autoFilter ref="A1:K2"/>
  <tableColumns count="11">
    <tableColumn id="1" name="SnapshotTimestamp"/>
    <tableColumn id="2" name="BusinessDate"/>
    <tableColumn id="3" name="ShiftName"/>
    <tableColumn id="4" name="ShippedCartons"/>
    <tableColumn id="5" name="TotalStaff"/>
    <tableColumn id="6" name="ExpectedCartons"/>
    <tableColumn id="7" name="PerformancePct"/>
    <tableColumn id="8" name="RAG"/>
    <tableColumn id="9" name="HRP_OpenCount"/>
    <tableColumn id="10" name="Packed_OverdueCount"/>
    <tableColumn id="11" name="AuditC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hyperlink" Target="#IN_PACKED!A1" TargetMode="External" Id="rId2" /><Relationship Type="http://schemas.openxmlformats.org/officeDocument/2006/relationships/hyperlink" Target="#IN_HRP!A1" TargetMode="External" Id="rId3" /><Relationship Type="http://schemas.openxmlformats.org/officeDocument/2006/relationships/hyperlink" Target="#IN_SHIPPED_LPNS!A1" TargetMode="External" Id="rId4" /><Relationship Type="http://schemas.openxmlformats.org/officeDocument/2006/relationships/hyperlink" Target="#IN_STAFFING!A1" TargetMode="External" Id="rId5" /><Relationship Type="http://schemas.openxmlformats.org/officeDocument/2006/relationships/hyperlink" Target="#IN_AUDIT_LOG!A1" TargetMode="External" Id="rId6" /><Relationship Type="http://schemas.openxmlformats.org/officeDocument/2006/relationships/hyperlink" Target="#T_DISPATCH_KPI!A1" TargetMode="External" Id="rId7" /><Relationship Type="http://schemas.openxmlformats.org/officeDocument/2006/relationships/hyperlink" Target="#HISTORY!A1" TargetMode="External" Id="rId8" /><Relationship Type="http://schemas.openxmlformats.org/officeDocument/2006/relationships/hyperlink" Target="#CHARTS!A1" TargetMode="External" Id="rId9" /><Relationship Type="http://schemas.openxmlformats.org/officeDocument/2006/relationships/hyperlink" Target="#DATA_QUALITY!A1" TargetMode="External" Id="rId10" /><Relationship Type="http://schemas.openxmlformats.org/officeDocument/2006/relationships/hyperlink" Target="#ACTION_HRP!A1" TargetMode="External" Id="rId11" /><Relationship Type="http://schemas.openxmlformats.org/officeDocument/2006/relationships/hyperlink" Target="#ACTION_PACKED!A1" TargetMode="External" Id="rId12" /><Relationship Type="http://schemas.openxmlformats.org/officeDocument/2006/relationships/hyperlink" Target="#DAILY_ENTRY!A1" TargetMode="External" Id="rId13" /></Relationships>
</file>

<file path=xl/worksheets/_rels/sheet2.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hyperlink" Target="#DASHBOARD!A1" TargetMode="External" Id="rId2" /></Relationships>
</file>

<file path=xl/worksheets/_rels/sheet3.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drawing" Target="/xl/drawings/drawing1.xml" Id="rId2" /></Relationships>
</file>

<file path=xl/worksheets/_rels/sheet4.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xml" Id="rId2" /><Relationship Type="http://schemas.openxmlformats.org/officeDocument/2006/relationships/table" Target="/xl/tables/table2.xml" Id="rId3" /><Relationship Type="http://schemas.openxmlformats.org/officeDocument/2006/relationships/table" Target="/xl/tables/table3.xml" Id="rId4" /></Relationships>
</file>

<file path=xl/worksheets/_rels/sheet5.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4.xml" Id="rId2" /></Relationships>
</file>

<file path=xl/worksheets/_rels/sheet6.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5.xml" Id="rId2" /></Relationships>
</file>

<file path=xl/worksheets/_rels/sheet7.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6.xml" Id="rId2"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8.xml" Id="rId2" /></Relationships>
</file>

<file path=xl/worksheets/_rels/sheet10.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9.xml" Id="rId2" /></Relationships>
</file>

<file path=xl/worksheets/_rels/sheet11.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0.xml" Id="rId2" /></Relationships>
</file>

<file path=xl/worksheets/_rels/sheet12.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1.xml" Id="rId2" /></Relationships>
</file>

<file path=xl/worksheets/_rels/sheet14.xml.rels><Relationships xmlns="http://schemas.openxmlformats.org/package/2006/relationships"><Relationship Type="http://schemas.openxmlformats.org/officeDocument/2006/relationships/hyperlink" Target="#DASHBOARD!A1" TargetMode="External" Id="rId1" /></Relationships>
</file>

<file path=xl/worksheets/_rels/sheet15.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2.xml" Id="rId2" /></Relationships>
</file>

<file path=xl/worksheets/_rels/sheet16.xml.rels><Relationships xmlns="http://schemas.openxmlformats.org/package/2006/relationships"><Relationship Type="http://schemas.openxmlformats.org/officeDocument/2006/relationships/hyperlink" Target="#DASHBOARD!A1" TargetMode="External" Id="rId1" /></Relationships>
</file>

<file path=xl/worksheets/sheet1.xml><?xml version="1.0" encoding="utf-8"?>
<worksheet xmlns="http://schemas.openxmlformats.org/spreadsheetml/2006/main">
  <sheetPr>
    <tabColor rgb="000070C0"/>
    <outlinePr summaryBelow="1" summaryRight="1"/>
    <pageSetUpPr/>
  </sheetPr>
  <dimension ref="A1:S51"/>
  <sheetViews>
    <sheetView workbookViewId="0">
      <selection activeCell="A1" sqref="A1"/>
    </sheetView>
  </sheetViews>
  <sheetFormatPr baseColWidth="8" defaultRowHeight="15"/>
  <cols>
    <col width="2" customWidth="1" min="1" max="1"/>
    <col width="15" customWidth="1" min="2" max="2"/>
    <col width="15" customWidth="1" min="3" max="3"/>
    <col width="15" customWidth="1" min="4" max="4"/>
    <col width="15" customWidth="1" min="5" max="5"/>
    <col width="15" customWidth="1" min="6" max="6"/>
    <col width="15" customWidth="1" min="7" max="7"/>
    <col width="15" customWidth="1" min="8" max="8"/>
    <col width="15" customWidth="1" min="9" max="9"/>
    <col width="15" customWidth="1" min="10" max="10"/>
    <col width="15" customWidth="1" min="11" max="11"/>
    <col width="15" customWidth="1" min="12" max="12"/>
    <col width="15" customWidth="1" min="13" max="13"/>
    <col width="15" customWidth="1" min="14" max="14"/>
    <col width="12" customWidth="1" min="16" max="16"/>
    <col width="22" customWidth="1" min="17" max="17"/>
    <col width="22" customWidth="1" min="18" max="18"/>
    <col width="22" customWidth="1" min="19" max="19"/>
  </cols>
  <sheetData>
    <row r="1" ht="36" customHeight="1">
      <c r="A1" s="1" t="inlineStr">
        <is>
          <t>WAREHOUSE / DISPATCH KPI DASHBOARD</t>
        </is>
      </c>
      <c r="P1" s="2" t="inlineStr">
        <is>
          <t>[i] SHEET GUIDE — DASHBOARD</t>
        </is>
      </c>
    </row>
    <row r="2" ht="36" customHeight="1">
      <c r="A2" s="3" t="inlineStr">
        <is>
          <t>Last Refreshed:</t>
        </is>
      </c>
      <c r="D2" s="4">
        <f>TEXT(NOW(),"dd/mm/yyyy hh:mm")</f>
        <v/>
      </c>
      <c r="H2" s="5" t="inlineStr">
        <is>
          <t>Warehouse / Dispatch KPI System  v0.0.1-beta</t>
        </is>
      </c>
      <c r="P2" s="6" t="inlineStr">
        <is>
          <t>PURPOSE:</t>
        </is>
      </c>
      <c r="Q2" s="7" t="inlineStr">
        <is>
          <t>Central KPI hub showing real-time performance across HRP, packed, dispatch, audits, and staffing. All KPI cards update live as input sheets are populated.</t>
        </is>
      </c>
    </row>
    <row r="3" ht="36" customHeight="1">
      <c r="A3" s="8" t="n"/>
      <c r="B3" s="8" t="n"/>
      <c r="C3" s="8" t="n"/>
      <c r="D3" s="8" t="n"/>
      <c r="E3" s="8" t="n"/>
      <c r="F3" s="8" t="n"/>
      <c r="G3" s="8" t="n"/>
      <c r="H3" s="8" t="n"/>
      <c r="I3" s="8" t="n"/>
      <c r="J3" s="8" t="n"/>
      <c r="K3" s="8" t="n"/>
      <c r="L3" s="8" t="n"/>
      <c r="M3" s="8" t="n"/>
      <c r="N3" s="8" t="n"/>
      <c r="P3" s="6" t="inlineStr">
        <is>
          <t>DATA FLOW:</t>
        </is>
      </c>
      <c r="Q3" s="7" t="inlineStr">
        <is>
          <t>IN: formulas read from tblDispatchKPI, tblDispatchDaily, tblHRP, tblPacked, tblShipped, tblAuditLog, tblConfig_Rules  |  OUT: QUICK NAVIGATION hyperlinks to all other sheets; VBA buttons trigger macros (REFRESH ALL, SNAPSHOT, POPULATE, FILL DATA)</t>
        </is>
      </c>
    </row>
    <row r="4" ht="36" customHeight="1">
      <c r="A4" s="9" t="inlineStr">
        <is>
          <t xml:space="preserve">  KPI OVERVIEW</t>
        </is>
      </c>
      <c r="P4" s="6" t="inlineStr">
        <is>
          <t>HOW TO USE:</t>
        </is>
      </c>
      <c r="Q4" s="7" t="inlineStr">
        <is>
          <t>Use QUICK NAVIGATION links (rows 31-32) to jump to any sheet. Click FILL DATA / SUBMIT DAY to enter daily shift data. Click TAKE DAILY SNAPSHOT to archive today's KPIs to HISTORY. Click POPULATE ACTION SHEETS to refresh ACTION_HRP and ACTION_PACKED.</t>
        </is>
      </c>
    </row>
    <row r="5" ht="18" customHeight="1">
      <c r="A5" s="8" t="n"/>
      <c r="B5" s="10" t="inlineStr">
        <is>
          <t>HRP OPEN ITEMS</t>
        </is>
      </c>
      <c r="C5" s="11" t="n"/>
      <c r="D5" s="12" t="n"/>
      <c r="E5" s="8" t="n"/>
      <c r="F5" s="10" t="inlineStr">
        <is>
          <t>PACKED OVERDUE</t>
        </is>
      </c>
      <c r="G5" s="11" t="n"/>
      <c r="H5" s="12" t="n"/>
      <c r="I5" s="8" t="n"/>
      <c r="J5" s="13" t="inlineStr">
        <is>
          <t>DISPATCH PERF TODAY</t>
        </is>
      </c>
      <c r="K5" s="14" t="n"/>
      <c r="L5" s="15" t="n"/>
      <c r="M5" s="8" t="n"/>
      <c r="N5" s="8" t="n"/>
      <c r="P5" s="16" t="inlineStr">
        <is>
          <t>&lt;&lt; Back to DASHBOARD</t>
        </is>
      </c>
    </row>
    <row r="6" ht="42" customHeight="1">
      <c r="A6" s="8" t="n"/>
      <c r="B6" s="17">
        <f>COUNTIF(tblHRP[IncludeInHRP],TRUE)</f>
        <v/>
      </c>
      <c r="D6" s="18" t="n"/>
      <c r="E6" s="8" t="n"/>
      <c r="F6" s="17">
        <f>COUNTIF(tblPacked[ActionFlag],TRUE)</f>
        <v/>
      </c>
      <c r="H6" s="18" t="n"/>
      <c r="I6" s="8" t="n"/>
      <c r="J6" s="19">
        <f>IFERROR(TEXT(INDEX(tblDispatchDaily[DailyPerformancePct],MATCH(TODAY(),tblDispatchDaily[BusinessDate],0)),"0.0%"),"N/A")</f>
        <v/>
      </c>
      <c r="L6" s="20" t="n"/>
      <c r="M6" s="8" t="n"/>
      <c r="N6" s="8" t="n"/>
    </row>
    <row r="7" ht="8" customHeight="1">
      <c r="A7" s="8" t="n"/>
      <c r="B7" s="21" t="n"/>
      <c r="D7" s="18" t="n"/>
      <c r="E7" s="8" t="n"/>
      <c r="F7" s="21" t="n"/>
      <c r="H7" s="18" t="n"/>
      <c r="I7" s="8" t="n"/>
      <c r="J7" s="22" t="n"/>
      <c r="L7" s="20" t="n"/>
      <c r="M7" s="8" t="n"/>
      <c r="N7" s="8" t="n"/>
    </row>
    <row r="8" ht="8" customHeight="1">
      <c r="A8" s="8" t="n"/>
      <c r="B8" s="23" t="n"/>
      <c r="C8" s="24" t="n"/>
      <c r="D8" s="25" t="n"/>
      <c r="E8" s="8" t="n"/>
      <c r="F8" s="23" t="n"/>
      <c r="G8" s="24" t="n"/>
      <c r="H8" s="25" t="n"/>
      <c r="I8" s="8" t="n"/>
      <c r="J8" s="26" t="n"/>
      <c r="K8" s="27" t="n"/>
      <c r="L8" s="28" t="n"/>
      <c r="M8" s="8" t="n"/>
      <c r="N8" s="8" t="n"/>
    </row>
    <row r="9" ht="18" customHeight="1">
      <c r="A9" s="8" t="n"/>
      <c r="B9" s="29" t="inlineStr">
        <is>
          <t>DUPLICATE LPNs</t>
        </is>
      </c>
      <c r="C9" s="30" t="n"/>
      <c r="D9" s="31" t="n"/>
      <c r="E9" s="8" t="n"/>
      <c r="F9" s="13" t="inlineStr">
        <is>
          <t>STAFF TODAY</t>
        </is>
      </c>
      <c r="G9" s="14" t="n"/>
      <c r="H9" s="15" t="n"/>
      <c r="I9" s="8" t="n"/>
      <c r="J9" s="32" t="inlineStr">
        <is>
          <t>CARTONS SHIPPED TODAY</t>
        </is>
      </c>
      <c r="K9" s="33" t="n"/>
      <c r="L9" s="34" t="n"/>
      <c r="M9" s="8" t="n"/>
      <c r="N9" s="8" t="n"/>
    </row>
    <row r="10" ht="42" customHeight="1">
      <c r="A10" s="8" t="n"/>
      <c r="B10" s="35">
        <f>COUNTIF(tblShipped[DupFlag],TRUE)</f>
        <v/>
      </c>
      <c r="D10" s="36" t="n"/>
      <c r="E10" s="8" t="n"/>
      <c r="F10" s="19">
        <f>SUMIF(tblDispatchKPI[BusinessDate],TODAY(),tblDispatchKPI[TotalStaff])</f>
        <v/>
      </c>
      <c r="H10" s="20" t="n"/>
      <c r="I10" s="8" t="n"/>
      <c r="J10" s="37">
        <f>SUMIF(tblDispatchKPI[BusinessDate],TODAY(),tblDispatchKPI[ShippedCartons])</f>
        <v/>
      </c>
      <c r="L10" s="38" t="n"/>
      <c r="M10" s="8" t="n"/>
      <c r="N10" s="8" t="n"/>
    </row>
    <row r="11" ht="8" customHeight="1">
      <c r="A11" s="8" t="n"/>
      <c r="B11" s="39" t="n"/>
      <c r="D11" s="36" t="n"/>
      <c r="E11" s="8" t="n"/>
      <c r="F11" s="22" t="n"/>
      <c r="H11" s="20" t="n"/>
      <c r="I11" s="8" t="n"/>
      <c r="J11" s="40" t="n"/>
      <c r="L11" s="38" t="n"/>
      <c r="M11" s="8" t="n"/>
      <c r="N11" s="8" t="n"/>
    </row>
    <row r="12" ht="8" customHeight="1">
      <c r="A12" s="8" t="n"/>
      <c r="B12" s="41" t="n"/>
      <c r="C12" s="42" t="n"/>
      <c r="D12" s="43" t="n"/>
      <c r="E12" s="8" t="n"/>
      <c r="F12" s="26" t="n"/>
      <c r="G12" s="27" t="n"/>
      <c r="H12" s="28" t="n"/>
      <c r="I12" s="8" t="n"/>
      <c r="J12" s="44" t="n"/>
      <c r="K12" s="45" t="n"/>
      <c r="L12" s="46" t="n"/>
      <c r="M12" s="8" t="n"/>
      <c r="N12" s="8" t="n"/>
    </row>
    <row r="13" ht="8" customHeight="1">
      <c r="A13" s="8" t="n"/>
      <c r="B13" s="8" t="n"/>
      <c r="C13" s="8" t="n"/>
      <c r="D13" s="8" t="n"/>
      <c r="E13" s="8" t="n"/>
      <c r="F13" s="8" t="n"/>
      <c r="G13" s="8" t="n"/>
      <c r="H13" s="8" t="n"/>
      <c r="I13" s="8" t="n"/>
      <c r="J13" s="8" t="n"/>
      <c r="K13" s="8" t="n"/>
      <c r="L13" s="8" t="n"/>
      <c r="M13" s="8" t="n"/>
      <c r="N13" s="8" t="n"/>
    </row>
    <row r="14" ht="20" customHeight="1">
      <c r="A14" s="9" t="inlineStr">
        <is>
          <t xml:space="preserve">  PERFORMANCE SUMMARY  (Most Recent Shifts)</t>
        </is>
      </c>
    </row>
    <row r="15" ht="16" customHeight="1">
      <c r="A15" s="47" t="inlineStr">
        <is>
          <t>Date</t>
        </is>
      </c>
      <c r="B15" s="47" t="inlineStr">
        <is>
          <t>Shift</t>
        </is>
      </c>
      <c r="C15" s="47" t="inlineStr">
        <is>
          <t>Shipped</t>
        </is>
      </c>
      <c r="D15" s="47" t="inlineStr">
        <is>
          <t>Expected</t>
        </is>
      </c>
      <c r="E15" s="47" t="inlineStr">
        <is>
          <t>Perf %</t>
        </is>
      </c>
      <c r="F15" s="47" t="inlineStr">
        <is>
          <t>RAG</t>
        </is>
      </c>
      <c r="G15" s="8" t="n"/>
      <c r="H15" s="8" t="n"/>
      <c r="I15" s="8" t="n"/>
      <c r="J15" s="8" t="n"/>
      <c r="K15" s="8" t="n"/>
      <c r="L15" s="8" t="n"/>
      <c r="M15" s="8" t="n"/>
      <c r="N15" s="8" t="n"/>
    </row>
    <row r="16" ht="14" customHeight="1">
      <c r="A16" s="48">
        <f>IFERROR(TEXT(INDEX(tblDispatchKPI[BusinessDate],ROWS(tblDispatchKPI[BusinessDate])-0),"dd/mm/yyyy"),"")</f>
        <v/>
      </c>
      <c r="B16" s="48">
        <f>IFERROR(INDEX(tblDispatchKPI[ShiftName],ROWS(tblDispatchKPI[BusinessDate])-0),"")</f>
        <v/>
      </c>
      <c r="C16" s="48">
        <f>IFERROR(INDEX(tblDispatchKPI[ShippedCartons],ROWS(tblDispatchKPI[BusinessDate])-0),"")</f>
        <v/>
      </c>
      <c r="D16" s="48">
        <f>IFERROR(INDEX(tblDispatchKPI[ExpectedCartons],ROWS(tblDispatchKPI[BusinessDate])-0),"")</f>
        <v/>
      </c>
      <c r="E16" s="48">
        <f>IFERROR(TEXT(INDEX(tblDispatchKPI[PerformancePct],ROWS(tblDispatchKPI[BusinessDate])-0),"0.0%"),"")</f>
        <v/>
      </c>
      <c r="F16" s="48">
        <f>IFERROR(INDEX(tblDispatchKPI[RAG],ROWS(tblDispatchKPI[BusinessDate])-0),"")</f>
        <v/>
      </c>
      <c r="G16" s="8" t="n"/>
      <c r="H16" s="8" t="n"/>
      <c r="I16" s="8" t="n"/>
      <c r="J16" s="8" t="n"/>
      <c r="K16" s="8" t="n"/>
      <c r="L16" s="8" t="n"/>
      <c r="M16" s="8" t="n"/>
      <c r="N16" s="8" t="n"/>
    </row>
    <row r="17" ht="14" customHeight="1">
      <c r="A17" s="49">
        <f>IFERROR(TEXT(INDEX(tblDispatchKPI[BusinessDate],ROWS(tblDispatchKPI[BusinessDate])-1),"dd/mm/yyyy"),"")</f>
        <v/>
      </c>
      <c r="B17" s="49">
        <f>IFERROR(INDEX(tblDispatchKPI[ShiftName],ROWS(tblDispatchKPI[BusinessDate])-1),"")</f>
        <v/>
      </c>
      <c r="C17" s="49">
        <f>IFERROR(INDEX(tblDispatchKPI[ShippedCartons],ROWS(tblDispatchKPI[BusinessDate])-1),"")</f>
        <v/>
      </c>
      <c r="D17" s="49">
        <f>IFERROR(INDEX(tblDispatchKPI[ExpectedCartons],ROWS(tblDispatchKPI[BusinessDate])-1),"")</f>
        <v/>
      </c>
      <c r="E17" s="49">
        <f>IFERROR(TEXT(INDEX(tblDispatchKPI[PerformancePct],ROWS(tblDispatchKPI[BusinessDate])-1),"0.0%"),"")</f>
        <v/>
      </c>
      <c r="F17" s="49">
        <f>IFERROR(INDEX(tblDispatchKPI[RAG],ROWS(tblDispatchKPI[BusinessDate])-1),"")</f>
        <v/>
      </c>
      <c r="G17" s="8" t="n"/>
      <c r="H17" s="8" t="n"/>
      <c r="I17" s="8" t="n"/>
      <c r="J17" s="8" t="n"/>
      <c r="K17" s="8" t="n"/>
      <c r="L17" s="8" t="n"/>
      <c r="M17" s="8" t="n"/>
      <c r="N17" s="8" t="n"/>
    </row>
    <row r="18" ht="14" customHeight="1">
      <c r="A18" s="48">
        <f>IFERROR(TEXT(INDEX(tblDispatchKPI[BusinessDate],ROWS(tblDispatchKPI[BusinessDate])-2),"dd/mm/yyyy"),"")</f>
        <v/>
      </c>
      <c r="B18" s="48">
        <f>IFERROR(INDEX(tblDispatchKPI[ShiftName],ROWS(tblDispatchKPI[BusinessDate])-2),"")</f>
        <v/>
      </c>
      <c r="C18" s="48">
        <f>IFERROR(INDEX(tblDispatchKPI[ShippedCartons],ROWS(tblDispatchKPI[BusinessDate])-2),"")</f>
        <v/>
      </c>
      <c r="D18" s="48">
        <f>IFERROR(INDEX(tblDispatchKPI[ExpectedCartons],ROWS(tblDispatchKPI[BusinessDate])-2),"")</f>
        <v/>
      </c>
      <c r="E18" s="48">
        <f>IFERROR(TEXT(INDEX(tblDispatchKPI[PerformancePct],ROWS(tblDispatchKPI[BusinessDate])-2),"0.0%"),"")</f>
        <v/>
      </c>
      <c r="F18" s="48">
        <f>IFERROR(INDEX(tblDispatchKPI[RAG],ROWS(tblDispatchKPI[BusinessDate])-2),"")</f>
        <v/>
      </c>
      <c r="G18" s="8" t="n"/>
      <c r="H18" s="8" t="n"/>
      <c r="I18" s="8" t="n"/>
      <c r="J18" s="8" t="n"/>
      <c r="K18" s="8" t="n"/>
      <c r="L18" s="8" t="n"/>
      <c r="M18" s="8" t="n"/>
      <c r="N18" s="8" t="n"/>
    </row>
    <row r="19" ht="8" customHeight="1">
      <c r="A19" s="8" t="n"/>
      <c r="B19" s="8" t="n"/>
      <c r="C19" s="8" t="n"/>
      <c r="D19" s="8" t="n"/>
      <c r="E19" s="8" t="n"/>
      <c r="F19" s="8" t="n"/>
      <c r="G19" s="8" t="n"/>
      <c r="H19" s="8" t="n"/>
      <c r="I19" s="8" t="n"/>
      <c r="J19" s="8" t="n"/>
      <c r="K19" s="8" t="n"/>
      <c r="L19" s="8" t="n"/>
      <c r="M19" s="8" t="n"/>
      <c r="N19" s="8" t="n"/>
    </row>
    <row r="20" ht="20" customHeight="1">
      <c r="A20" s="50" t="inlineStr">
        <is>
          <t xml:space="preserve">  AUDIT OVERVIEW  (Today)</t>
        </is>
      </c>
    </row>
    <row r="21" ht="18" customHeight="1">
      <c r="A21" s="8" t="n"/>
      <c r="B21" s="51" t="inlineStr">
        <is>
          <t>AUDITS TODAY</t>
        </is>
      </c>
      <c r="C21" s="52" t="n"/>
      <c r="D21" s="53" t="n"/>
      <c r="E21" s="8" t="n"/>
      <c r="F21" s="51" t="inlineStr">
        <is>
          <t>AUDIT TARGET (PER SHIFT)</t>
        </is>
      </c>
      <c r="G21" s="52" t="n"/>
      <c r="H21" s="53" t="n"/>
      <c r="I21" s="8" t="n"/>
      <c r="J21" s="51" t="inlineStr">
        <is>
          <t>AUDIT COMPLIANCE TODAY</t>
        </is>
      </c>
      <c r="K21" s="52" t="n"/>
      <c r="L21" s="53" t="n"/>
      <c r="M21" s="8" t="n"/>
      <c r="N21" s="8" t="n"/>
    </row>
    <row r="22" ht="42" customHeight="1">
      <c r="A22" s="8" t="n"/>
      <c r="B22" s="54">
        <f>IFERROR(SUMIFS(tblAuditLog[AuditCount],tblAuditLog[BusinessDate],TODAY()),"N/A")</f>
        <v/>
      </c>
      <c r="D22" s="55" t="n"/>
      <c r="E22" s="8" t="n"/>
      <c r="F22" s="54">
        <f>IFERROR(INDEX(tblConfig_Rules[Value],MATCH("Audit_SampleSize",tblConfig_Rules[RuleName],0)),"N/A")</f>
        <v/>
      </c>
      <c r="H22" s="55" t="n"/>
      <c r="I22" s="8" t="n"/>
      <c r="J22" s="54">
        <f>IFERROR(TEXT(SUMIFS(tblAuditLog[AuditCount],tblAuditLog[BusinessDate],TODAY())/INDEX(tblConfig_Rules[Value],MATCH("Audit_SampleSize",tblConfig_Rules[RuleName],0)),"0.0%"),"N/A")</f>
        <v/>
      </c>
      <c r="L22" s="55" t="n"/>
      <c r="M22" s="8" t="n"/>
      <c r="N22" s="8" t="n"/>
    </row>
    <row r="23" ht="8" customHeight="1">
      <c r="A23" s="8" t="n"/>
      <c r="B23" s="56" t="n"/>
      <c r="D23" s="55" t="n"/>
      <c r="E23" s="8" t="n"/>
      <c r="F23" s="56" t="n"/>
      <c r="H23" s="55" t="n"/>
      <c r="I23" s="8" t="n"/>
      <c r="J23" s="56" t="n"/>
      <c r="L23" s="55" t="n"/>
      <c r="M23" s="8" t="n"/>
      <c r="N23" s="8" t="n"/>
    </row>
    <row r="24" ht="8" customHeight="1">
      <c r="A24" s="8" t="n"/>
      <c r="B24" s="57" t="n"/>
      <c r="C24" s="58" t="n"/>
      <c r="D24" s="59" t="n"/>
      <c r="E24" s="8" t="n"/>
      <c r="F24" s="57" t="n"/>
      <c r="G24" s="58" t="n"/>
      <c r="H24" s="59" t="n"/>
      <c r="I24" s="8" t="n"/>
      <c r="J24" s="57" t="n"/>
      <c r="K24" s="58" t="n"/>
      <c r="L24" s="59" t="n"/>
      <c r="M24" s="8" t="n"/>
      <c r="N24" s="8" t="n"/>
    </row>
    <row r="25" ht="8" customHeight="1">
      <c r="A25" s="8" t="n"/>
      <c r="B25" s="8" t="n"/>
      <c r="C25" s="8" t="n"/>
      <c r="D25" s="8" t="n"/>
      <c r="E25" s="8" t="n"/>
      <c r="F25" s="8" t="n"/>
      <c r="G25" s="8" t="n"/>
      <c r="H25" s="8" t="n"/>
      <c r="I25" s="8" t="n"/>
      <c r="J25" s="8" t="n"/>
      <c r="K25" s="8" t="n"/>
      <c r="L25" s="8" t="n"/>
      <c r="M25" s="8" t="n"/>
      <c r="N25" s="8" t="n"/>
    </row>
    <row r="26" ht="20" customHeight="1">
      <c r="A26" s="60" t="inlineStr">
        <is>
          <t xml:space="preserve">  RAG LEGEND</t>
        </is>
      </c>
    </row>
    <row r="27" ht="16" customHeight="1">
      <c r="A27" s="8" t="n"/>
      <c r="B27" s="61" t="inlineStr">
        <is>
          <t>GREEN</t>
        </is>
      </c>
      <c r="E27" s="8" t="n"/>
      <c r="F27" s="62" t="inlineStr">
        <is>
          <t>AMBER</t>
        </is>
      </c>
      <c r="I27" s="8" t="n"/>
      <c r="J27" s="63" t="inlineStr">
        <is>
          <t>RED</t>
        </is>
      </c>
      <c r="M27" s="8" t="n"/>
      <c r="N27" s="8" t="n"/>
    </row>
    <row r="28" ht="14" customHeight="1">
      <c r="A28" s="8" t="n"/>
      <c r="B28" s="64" t="inlineStr">
        <is>
          <t>Dispatch Performance &gt;= 100%</t>
        </is>
      </c>
      <c r="E28" s="8" t="n"/>
      <c r="F28" s="64" t="inlineStr">
        <is>
          <t>Dispatch Performance &gt;= 90% and &lt; 100%</t>
        </is>
      </c>
      <c r="I28" s="8" t="n"/>
      <c r="J28" s="64" t="inlineStr">
        <is>
          <t>Dispatch Performance &lt; 90%</t>
        </is>
      </c>
      <c r="M28" s="8" t="n"/>
      <c r="N28" s="8" t="n"/>
    </row>
    <row r="29" ht="8" customHeight="1">
      <c r="A29" s="8" t="n"/>
      <c r="B29" s="8" t="n"/>
      <c r="C29" s="8" t="n"/>
      <c r="D29" s="8" t="n"/>
      <c r="E29" s="8" t="n"/>
      <c r="F29" s="8" t="n"/>
      <c r="G29" s="8" t="n"/>
      <c r="H29" s="8" t="n"/>
      <c r="I29" s="8" t="n"/>
      <c r="J29" s="8" t="n"/>
      <c r="K29" s="8" t="n"/>
      <c r="L29" s="8" t="n"/>
      <c r="M29" s="8" t="n"/>
      <c r="N29" s="8" t="n"/>
    </row>
    <row r="30" ht="20" customHeight="1">
      <c r="A30" s="65" t="inlineStr">
        <is>
          <t xml:space="preserve">  QUICK NAVIGATION</t>
        </is>
      </c>
    </row>
    <row r="31" ht="16" customHeight="1">
      <c r="A31" s="8" t="n"/>
      <c r="B31" s="66" t="inlineStr">
        <is>
          <t>&gt;&gt; IN_PACKED</t>
        </is>
      </c>
      <c r="D31" s="66" t="inlineStr">
        <is>
          <t>&gt;&gt; IN_HRP</t>
        </is>
      </c>
      <c r="F31" s="67" t="inlineStr">
        <is>
          <t>&gt;&gt; IN_SHIPPED_LPNS</t>
        </is>
      </c>
      <c r="H31" s="67" t="inlineStr">
        <is>
          <t>&gt;&gt; IN_STAFFING</t>
        </is>
      </c>
      <c r="J31" s="68" t="inlineStr">
        <is>
          <t>&gt;&gt; IN_AUDIT_LOG</t>
        </is>
      </c>
      <c r="L31" s="69" t="inlineStr">
        <is>
          <t>&gt;&gt; T_DISPATCH_KPI</t>
        </is>
      </c>
      <c r="N31" s="70" t="inlineStr">
        <is>
          <t>&gt;&gt; HISTORY</t>
        </is>
      </c>
    </row>
    <row r="32" ht="16" customHeight="1">
      <c r="A32" s="8" t="n"/>
      <c r="B32" s="71" t="inlineStr">
        <is>
          <t>&gt;&gt; CHARTS</t>
        </is>
      </c>
      <c r="D32" s="69" t="inlineStr">
        <is>
          <t>&gt;&gt; DATA_QUALITY</t>
        </is>
      </c>
      <c r="F32" s="72" t="inlineStr">
        <is>
          <t>&gt;&gt; ACTION_HRP</t>
        </is>
      </c>
      <c r="H32" s="72" t="inlineStr">
        <is>
          <t>&gt;&gt; ACTION_PACKED</t>
        </is>
      </c>
      <c r="J32" s="71" t="inlineStr">
        <is>
          <t>&gt;&gt; DAILY_ENTRY</t>
        </is>
      </c>
      <c r="L32" s="8" t="n"/>
      <c r="M32" s="8" t="n"/>
      <c r="N32" s="8" t="n"/>
    </row>
    <row r="33" ht="8" customHeight="1">
      <c r="A33" s="8" t="n"/>
      <c r="B33" s="8" t="n"/>
      <c r="C33" s="8" t="n"/>
      <c r="D33" s="8" t="n"/>
      <c r="E33" s="8" t="n"/>
      <c r="F33" s="8" t="n"/>
      <c r="G33" s="8" t="n"/>
      <c r="H33" s="8" t="n"/>
      <c r="I33" s="8" t="n"/>
      <c r="J33" s="8" t="n"/>
      <c r="K33" s="8" t="n"/>
      <c r="L33" s="8" t="n"/>
      <c r="M33" s="8" t="n"/>
      <c r="N33" s="8" t="n"/>
    </row>
    <row r="34" ht="20" customHeight="1">
      <c r="A34" s="73" t="inlineStr">
        <is>
          <t xml:space="preserve">  CONTROLS  (VBA macro buttons — workbook must be saved as .xlsm with macros enabled)</t>
        </is>
      </c>
    </row>
    <row r="35" ht="28" customHeight="1">
      <c r="A35" s="74" t="inlineStr">
        <is>
          <t>⚠  To activate the buttons below: File → Save As → Excel Macro-Enabled Workbook (.xlsm). Then enable macros when prompted on next open.  Alternatively, run CreateKPIWorkbook.bas from the Developer → Visual Basic editor.</t>
        </is>
      </c>
    </row>
    <row r="36" ht="18" customHeight="1">
      <c r="A36" s="8" t="n"/>
      <c r="B36" s="75" t="inlineStr">
        <is>
          <t>[ REFRESH ALL ]</t>
        </is>
      </c>
      <c r="E36" s="8" t="n"/>
      <c r="F36" s="75" t="inlineStr">
        <is>
          <t>[ TAKE DAILY SNAPSHOT ]</t>
        </is>
      </c>
      <c r="I36" s="8" t="n"/>
      <c r="J36" s="75" t="inlineStr">
        <is>
          <t>[ POPULATE ACTION SHEETS ]</t>
        </is>
      </c>
      <c r="M36" s="8" t="n"/>
      <c r="N36" s="8" t="n"/>
    </row>
    <row r="37" ht="24" customHeight="1">
      <c r="A37" s="8" t="n"/>
      <c r="B37" s="76" t="inlineStr">
        <is>
          <t>Recalculates all formulas &amp; refreshes PivotTables</t>
        </is>
      </c>
      <c r="E37" s="8" t="n"/>
      <c r="F37" s="76" t="inlineStr">
        <is>
          <t>Appends current KPIs to the HISTORY sheet</t>
        </is>
      </c>
      <c r="I37" s="8" t="n"/>
      <c r="J37" s="76" t="inlineStr">
        <is>
          <t>Copies filtered data to ACTION_HRP and ACTION_PACKED</t>
        </is>
      </c>
      <c r="M37" s="8" t="n"/>
      <c r="N37" s="8" t="n"/>
    </row>
    <row r="38" ht="24" customHeight="1">
      <c r="A38" s="8" t="n"/>
      <c r="B38" s="77" t="inlineStr">
        <is>
          <t>[ FILL DATA ]</t>
        </is>
      </c>
      <c r="E38" s="8" t="n"/>
      <c r="F38" s="8" t="n"/>
      <c r="G38" s="8" t="n"/>
      <c r="H38" s="8" t="n"/>
      <c r="I38" s="8" t="n"/>
      <c r="J38" s="8" t="n"/>
      <c r="K38" s="8" t="n"/>
      <c r="L38" s="8" t="n"/>
      <c r="M38" s="8" t="n"/>
      <c r="N38" s="8" t="n"/>
    </row>
    <row r="39" ht="20" customHeight="1">
      <c r="A39" s="8" t="n"/>
      <c r="B39" s="76" t="inlineStr">
        <is>
          <t>Open the daily entry form to record shift data for a specific day — the dashboard calculates all KPIs for the day, week, and month.</t>
        </is>
      </c>
    </row>
    <row r="40" ht="8" customHeight="1">
      <c r="A40" s="8" t="n"/>
      <c r="B40" s="8" t="n"/>
      <c r="C40" s="8" t="n"/>
      <c r="D40" s="8" t="n"/>
      <c r="E40" s="8" t="n"/>
      <c r="F40" s="8" t="n"/>
      <c r="G40" s="8" t="n"/>
      <c r="H40" s="8" t="n"/>
      <c r="I40" s="8" t="n"/>
      <c r="J40" s="8" t="n"/>
      <c r="K40" s="8" t="n"/>
      <c r="L40" s="8" t="n"/>
      <c r="M40" s="8" t="n"/>
      <c r="N40" s="8" t="n"/>
    </row>
    <row r="41" ht="20" customHeight="1">
      <c r="A41" s="78" t="inlineStr">
        <is>
          <t xml:space="preserve">  WEEKLY SUMMARY  (Monday – today)</t>
        </is>
      </c>
    </row>
    <row r="42" ht="18" customHeight="1">
      <c r="A42" s="8" t="n"/>
      <c r="B42" s="79" t="inlineStr">
        <is>
          <t>CARTONS THIS WEEK</t>
        </is>
      </c>
      <c r="C42" s="80" t="n"/>
      <c r="D42" s="81" t="n"/>
      <c r="E42" s="8" t="n"/>
      <c r="F42" s="79" t="inlineStr">
        <is>
          <t>AVG PERF % (WEEK)</t>
        </is>
      </c>
      <c r="G42" s="80" t="n"/>
      <c r="H42" s="81" t="n"/>
      <c r="I42" s="8" t="n"/>
      <c r="J42" s="79" t="inlineStr">
        <is>
          <t>STAFF COUNT THIS WEEK</t>
        </is>
      </c>
      <c r="K42" s="80" t="n"/>
      <c r="L42" s="81" t="n"/>
      <c r="M42" s="8" t="n"/>
      <c r="N42" s="8" t="n"/>
    </row>
    <row r="43" ht="42" customHeight="1">
      <c r="A43" s="8" t="n"/>
      <c r="B43" s="82">
        <f>SUMIFS(tblDispatchDaily[TotalShipped],tblDispatchDaily[BusinessDate],"&gt;="&amp;(TODAY()-WEEKDAY(TODAY(),2)+1),tblDispatchDaily[BusinessDate],"&lt;="&amp;TODAY())</f>
        <v/>
      </c>
      <c r="D43" s="83" t="n"/>
      <c r="E43" s="8" t="n"/>
      <c r="F43" s="82">
        <f>IFERROR(TEXT(AVERAGEIFS(tblDispatchDaily[DailyPerformancePct],tblDispatchDaily[BusinessDate],"&gt;="&amp;(TODAY()-WEEKDAY(TODAY(),2)+1),tblDispatchDaily[BusinessDate],"&lt;="&amp;TODAY()),"0.0%"),"N/A")</f>
        <v/>
      </c>
      <c r="H43" s="83" t="n"/>
      <c r="I43" s="8" t="n"/>
      <c r="J43" s="82">
        <f>SUMIFS(tblDispatchDaily[TotalStaff],tblDispatchDaily[BusinessDate],"&gt;="&amp;(TODAY()-WEEKDAY(TODAY(),2)+1),tblDispatchDaily[BusinessDate],"&lt;="&amp;TODAY())</f>
        <v/>
      </c>
      <c r="L43" s="83" t="n"/>
      <c r="M43" s="8" t="n"/>
      <c r="N43" s="8" t="n"/>
    </row>
    <row r="44" ht="8" customHeight="1">
      <c r="A44" s="8" t="n"/>
      <c r="B44" s="84" t="n"/>
      <c r="D44" s="83" t="n"/>
      <c r="E44" s="8" t="n"/>
      <c r="F44" s="84" t="n"/>
      <c r="H44" s="83" t="n"/>
      <c r="I44" s="8" t="n"/>
      <c r="J44" s="84" t="n"/>
      <c r="L44" s="83" t="n"/>
      <c r="M44" s="8" t="n"/>
      <c r="N44" s="8" t="n"/>
    </row>
    <row r="45" ht="8" customHeight="1">
      <c r="A45" s="8" t="n"/>
      <c r="B45" s="85" t="n"/>
      <c r="C45" s="86" t="n"/>
      <c r="D45" s="87" t="n"/>
      <c r="E45" s="8" t="n"/>
      <c r="F45" s="85" t="n"/>
      <c r="G45" s="86" t="n"/>
      <c r="H45" s="87" t="n"/>
      <c r="I45" s="8" t="n"/>
      <c r="J45" s="85" t="n"/>
      <c r="K45" s="86" t="n"/>
      <c r="L45" s="87" t="n"/>
      <c r="M45" s="8" t="n"/>
      <c r="N45" s="8" t="n"/>
    </row>
    <row r="46" ht="8" customHeight="1">
      <c r="A46" s="8" t="n"/>
      <c r="B46" s="8" t="n"/>
      <c r="C46" s="8" t="n"/>
      <c r="D46" s="8" t="n"/>
      <c r="E46" s="8" t="n"/>
      <c r="F46" s="8" t="n"/>
      <c r="G46" s="8" t="n"/>
      <c r="H46" s="8" t="n"/>
      <c r="I46" s="8" t="n"/>
      <c r="J46" s="8" t="n"/>
      <c r="K46" s="8" t="n"/>
      <c r="L46" s="8" t="n"/>
      <c r="M46" s="8" t="n"/>
      <c r="N46" s="8" t="n"/>
    </row>
    <row r="47" ht="20" customHeight="1">
      <c r="A47" s="88" t="inlineStr">
        <is>
          <t xml:space="preserve">  MONTHLY SUMMARY  (1st of month – today)</t>
        </is>
      </c>
    </row>
    <row r="48" ht="18" customHeight="1">
      <c r="A48" s="8" t="n"/>
      <c r="B48" s="89" t="inlineStr">
        <is>
          <t>CARTONS THIS MONTH</t>
        </is>
      </c>
      <c r="C48" s="90" t="n"/>
      <c r="D48" s="91" t="n"/>
      <c r="E48" s="8" t="n"/>
      <c r="F48" s="89" t="inlineStr">
        <is>
          <t>AVG PERF % (MONTH)</t>
        </is>
      </c>
      <c r="G48" s="90" t="n"/>
      <c r="H48" s="91" t="n"/>
      <c r="I48" s="8" t="n"/>
      <c r="J48" s="89" t="inlineStr">
        <is>
          <t>STAFF COUNT THIS MONTH</t>
        </is>
      </c>
      <c r="K48" s="90" t="n"/>
      <c r="L48" s="91" t="n"/>
      <c r="M48" s="8" t="n"/>
      <c r="N48" s="8" t="n"/>
    </row>
    <row r="49" ht="42" customHeight="1">
      <c r="A49" s="8" t="n"/>
      <c r="B49" s="92">
        <f>SUMIFS(tblDispatchDaily[TotalShipped],tblDispatchDaily[BusinessDate],"&gt;="&amp;DATE(YEAR(TODAY()),MONTH(TODAY()),1),tblDispatchDaily[BusinessDate],"&lt;="&amp;TODAY())</f>
        <v/>
      </c>
      <c r="D49" s="93" t="n"/>
      <c r="E49" s="8" t="n"/>
      <c r="F49" s="92">
        <f>IFERROR(TEXT(AVERAGEIFS(tblDispatchDaily[DailyPerformancePct],tblDispatchDaily[BusinessDate],"&gt;="&amp;DATE(YEAR(TODAY()),MONTH(TODAY()),1),tblDispatchDaily[BusinessDate],"&lt;="&amp;TODAY()),"0.0%"),"N/A")</f>
        <v/>
      </c>
      <c r="H49" s="93" t="n"/>
      <c r="I49" s="8" t="n"/>
      <c r="J49" s="92">
        <f>SUMIFS(tblDispatchDaily[TotalStaff],tblDispatchDaily[BusinessDate],"&gt;="&amp;DATE(YEAR(TODAY()),MONTH(TODAY()),1),tblDispatchDaily[BusinessDate],"&lt;="&amp;TODAY())</f>
        <v/>
      </c>
      <c r="L49" s="93" t="n"/>
      <c r="M49" s="8" t="n"/>
      <c r="N49" s="8" t="n"/>
    </row>
    <row r="50" ht="8" customHeight="1">
      <c r="A50" s="8" t="n"/>
      <c r="B50" s="94" t="n"/>
      <c r="D50" s="93" t="n"/>
      <c r="E50" s="8" t="n"/>
      <c r="F50" s="94" t="n"/>
      <c r="H50" s="93" t="n"/>
      <c r="I50" s="8" t="n"/>
      <c r="J50" s="94" t="n"/>
      <c r="L50" s="93" t="n"/>
      <c r="M50" s="8" t="n"/>
      <c r="N50" s="8" t="n"/>
    </row>
    <row r="51" ht="8" customHeight="1">
      <c r="B51" s="95" t="n"/>
      <c r="C51" s="96" t="n"/>
      <c r="D51" s="97" t="n"/>
      <c r="F51" s="95" t="n"/>
      <c r="G51" s="96" t="n"/>
      <c r="H51" s="97" t="n"/>
      <c r="J51" s="95" t="n"/>
      <c r="K51" s="96" t="n"/>
      <c r="L51" s="97" t="n"/>
    </row>
    <row r="52" ht="8" customHeight="1"/>
  </sheetData>
  <mergeCells count="74">
    <mergeCell ref="B42:D42"/>
    <mergeCell ref="F5:H5"/>
    <mergeCell ref="A34:N34"/>
    <mergeCell ref="J6:L8"/>
    <mergeCell ref="F36:H36"/>
    <mergeCell ref="F42:H42"/>
    <mergeCell ref="J36:L36"/>
    <mergeCell ref="A30:N30"/>
    <mergeCell ref="J49:L51"/>
    <mergeCell ref="J27:L27"/>
    <mergeCell ref="Q4:S4"/>
    <mergeCell ref="B10:D12"/>
    <mergeCell ref="B31:C31"/>
    <mergeCell ref="H31:I31"/>
    <mergeCell ref="D31:E31"/>
    <mergeCell ref="B38:D38"/>
    <mergeCell ref="A2:C2"/>
    <mergeCell ref="A1:N1"/>
    <mergeCell ref="B28:D28"/>
    <mergeCell ref="P5:S5"/>
    <mergeCell ref="B37:D37"/>
    <mergeCell ref="F28:H28"/>
    <mergeCell ref="B6:D8"/>
    <mergeCell ref="F22:H24"/>
    <mergeCell ref="F27:H27"/>
    <mergeCell ref="B9:D9"/>
    <mergeCell ref="B49:D51"/>
    <mergeCell ref="D32:E32"/>
    <mergeCell ref="A41:N41"/>
    <mergeCell ref="F9:H9"/>
    <mergeCell ref="F32:G32"/>
    <mergeCell ref="F43:H45"/>
    <mergeCell ref="F48:H48"/>
    <mergeCell ref="F37:H37"/>
    <mergeCell ref="J21:L21"/>
    <mergeCell ref="P1:S1"/>
    <mergeCell ref="Q2:S2"/>
    <mergeCell ref="B5:D5"/>
    <mergeCell ref="B36:D36"/>
    <mergeCell ref="J42:L42"/>
    <mergeCell ref="J22:L24"/>
    <mergeCell ref="H32:I32"/>
    <mergeCell ref="A26:N26"/>
    <mergeCell ref="F49:H51"/>
    <mergeCell ref="J32:K32"/>
    <mergeCell ref="F31:G31"/>
    <mergeCell ref="J43:L45"/>
    <mergeCell ref="F10:H12"/>
    <mergeCell ref="J31:K31"/>
    <mergeCell ref="B39:N39"/>
    <mergeCell ref="D2:G2"/>
    <mergeCell ref="L31:M31"/>
    <mergeCell ref="A47:N47"/>
    <mergeCell ref="A14:N14"/>
    <mergeCell ref="N31:O31"/>
    <mergeCell ref="J48:L48"/>
    <mergeCell ref="Q3:S3"/>
    <mergeCell ref="J5:L5"/>
    <mergeCell ref="J28:L28"/>
    <mergeCell ref="A4:N4"/>
    <mergeCell ref="F6:H8"/>
    <mergeCell ref="A20:N20"/>
    <mergeCell ref="B22:D24"/>
    <mergeCell ref="H2:N2"/>
    <mergeCell ref="A35:N35"/>
    <mergeCell ref="J37:L37"/>
    <mergeCell ref="B27:D27"/>
    <mergeCell ref="B32:C32"/>
    <mergeCell ref="B21:D21"/>
    <mergeCell ref="J9:L9"/>
    <mergeCell ref="F21:H21"/>
    <mergeCell ref="B43:D45"/>
    <mergeCell ref="B48:D48"/>
    <mergeCell ref="J10:L12"/>
  </mergeCells>
  <conditionalFormatting sqref="F16">
    <cfRule type="containsText" priority="1" operator="containsText" dxfId="0" text="Green"/>
    <cfRule type="containsText" priority="2" operator="containsText" dxfId="1" text="Amber"/>
    <cfRule type="containsText" priority="3" operator="containsText" dxfId="2" text="Red"/>
  </conditionalFormatting>
  <conditionalFormatting sqref="F17">
    <cfRule type="containsText" priority="4" operator="containsText" dxfId="0" text="Green"/>
    <cfRule type="containsText" priority="5" operator="containsText" dxfId="1" text="Amber"/>
    <cfRule type="containsText" priority="6" operator="containsText" dxfId="2" text="Red"/>
  </conditionalFormatting>
  <conditionalFormatting sqref="F18">
    <cfRule type="containsText" priority="7" operator="containsText" dxfId="0" text="Green"/>
    <cfRule type="containsText" priority="8" operator="containsText" dxfId="1" text="Amber"/>
    <cfRule type="containsText" priority="9" operator="containsText" dxfId="2" text="Red"/>
  </conditionalFormatting>
  <hyperlinks>
    <hyperlink xmlns:r="http://schemas.openxmlformats.org/officeDocument/2006/relationships" ref="P5" r:id="rId1"/>
    <hyperlink xmlns:r="http://schemas.openxmlformats.org/officeDocument/2006/relationships" ref="B31" r:id="rId2"/>
    <hyperlink xmlns:r="http://schemas.openxmlformats.org/officeDocument/2006/relationships" ref="D31" r:id="rId3"/>
    <hyperlink xmlns:r="http://schemas.openxmlformats.org/officeDocument/2006/relationships" ref="F31" r:id="rId4"/>
    <hyperlink xmlns:r="http://schemas.openxmlformats.org/officeDocument/2006/relationships" ref="H31" r:id="rId5"/>
    <hyperlink xmlns:r="http://schemas.openxmlformats.org/officeDocument/2006/relationships" ref="J31" r:id="rId6"/>
    <hyperlink xmlns:r="http://schemas.openxmlformats.org/officeDocument/2006/relationships" ref="L31" r:id="rId7"/>
    <hyperlink xmlns:r="http://schemas.openxmlformats.org/officeDocument/2006/relationships" ref="N31" r:id="rId8"/>
    <hyperlink xmlns:r="http://schemas.openxmlformats.org/officeDocument/2006/relationships" ref="B32" r:id="rId9"/>
    <hyperlink xmlns:r="http://schemas.openxmlformats.org/officeDocument/2006/relationships" ref="D32" r:id="rId10"/>
    <hyperlink xmlns:r="http://schemas.openxmlformats.org/officeDocument/2006/relationships" ref="F32" r:id="rId11"/>
    <hyperlink xmlns:r="http://schemas.openxmlformats.org/officeDocument/2006/relationships" ref="H32" r:id="rId12"/>
    <hyperlink xmlns:r="http://schemas.openxmlformats.org/officeDocument/2006/relationships" ref="J32" r:id="rId13"/>
  </hyperlinks>
  <pageMargins left="0.75" right="0.75" top="1" bottom="1" header="0.5" footer="0.5"/>
</worksheet>
</file>

<file path=xl/worksheets/sheet2.xml><?xml version="1.0" encoding="utf-8"?>
<worksheet xmlns="http://schemas.openxmlformats.org/spreadsheetml/2006/main">
  <sheetPr>
    <tabColor rgb="0000B0F0"/>
    <outlinePr summaryBelow="1" summaryRight="1"/>
    <pageSetUpPr/>
  </sheetPr>
  <dimension ref="A1:N20"/>
  <sheetViews>
    <sheetView workbookViewId="0">
      <selection activeCell="A1" sqref="A1"/>
    </sheetView>
  </sheetViews>
  <sheetFormatPr baseColWidth="8" defaultRowHeight="15"/>
  <cols>
    <col width="18" customWidth="1" min="1" max="1"/>
    <col width="16" customWidth="1" min="2" max="2"/>
    <col width="16" customWidth="1" min="3" max="3"/>
    <col width="16" customWidth="1" min="4" max="4"/>
    <col width="16" customWidth="1" min="5" max="5"/>
    <col width="14" customWidth="1" min="6" max="6"/>
    <col width="20" customWidth="1" min="7" max="7"/>
    <col width="20" customWidth="1" min="8" max="8"/>
    <col width="12" customWidth="1" min="10" max="10"/>
    <col width="22" customWidth="1" min="11" max="11"/>
    <col width="22" customWidth="1" min="12" max="12"/>
    <col width="22" customWidth="1" min="13" max="13"/>
  </cols>
  <sheetData>
    <row r="1" ht="36" customHeight="1">
      <c r="A1" s="98" t="inlineStr">
        <is>
          <t>DAILY DATA ENTRY FORM</t>
        </is>
      </c>
      <c r="J1" s="2" t="inlineStr">
        <is>
          <t>[i] SHEET GUIDE — DAILY_ENTRY</t>
        </is>
      </c>
    </row>
    <row r="2" ht="36" customHeight="1">
      <c r="A2" s="99" t="inlineStr">
        <is>
          <t>Fill in shift data for the day, then click SUBMIT DAY.  The dashboard calculates all KPIs for the day, week, and month automatically.</t>
        </is>
      </c>
      <c r="J2" s="6" t="inlineStr">
        <is>
          <t>PURPOSE:</t>
        </is>
      </c>
      <c r="K2" s="7" t="inlineStr">
        <is>
          <t>Structured daily data entry form. One-stop entry for shift cartons, staff, targets, and audits. SUBMIT DAY writes to all KPI tables automatically.</t>
        </is>
      </c>
    </row>
    <row r="3" ht="36" customHeight="1">
      <c r="A3" s="100" t="n"/>
      <c r="B3" s="100" t="n"/>
      <c r="C3" s="100" t="n"/>
      <c r="D3" s="100" t="n"/>
      <c r="E3" s="100" t="n"/>
      <c r="F3" s="100" t="n"/>
      <c r="G3" s="100" t="n"/>
      <c r="H3" s="100" t="n"/>
      <c r="J3" s="6" t="inlineStr">
        <is>
          <t>DATA FLOW:</t>
        </is>
      </c>
      <c r="K3" s="7" t="inlineStr">
        <is>
          <t>IN: manual user input  |  OUT: SUBMIT DAY writes to → T_DISPATCH_KPI (shift raw data), → IN_TARGETS_DAILY (target per person), → IN_AUDIT_LOG (audit count), → HISTORY (snapshot)</t>
        </is>
      </c>
    </row>
    <row r="4" ht="36" customHeight="1">
      <c r="A4" s="101" t="inlineStr">
        <is>
          <t>Business Date:</t>
        </is>
      </c>
      <c r="B4" s="102" t="n">
        <v>46141</v>
      </c>
      <c r="D4" s="103" t="inlineStr">
        <is>
          <t>(change if entering data for a past date)</t>
        </is>
      </c>
      <c r="E4" s="100" t="n"/>
      <c r="F4" s="100" t="n"/>
      <c r="G4" s="100" t="n"/>
      <c r="H4" s="100" t="n"/>
      <c r="J4" s="6" t="inlineStr">
        <is>
          <t>HOW TO USE:</t>
        </is>
      </c>
      <c r="K4" s="7" t="inlineStr">
        <is>
          <t>1. Verify or change Business Date in B4. 2. Enter Cartons Shipped, Total Staff, Target/Person, Audit Count for Day (row 8) and Night (row 9) shifts. 3. Optionally override exception counts in rows 12-13. 4. Click SUBMIT DAY. 5. Click CLEAR FORM to reset for the next entry.</t>
        </is>
      </c>
    </row>
    <row r="5" ht="16" customHeight="1">
      <c r="A5" s="100" t="n"/>
      <c r="B5" s="100" t="n"/>
      <c r="C5" s="100" t="n"/>
      <c r="D5" s="100" t="n"/>
      <c r="E5" s="100" t="n"/>
      <c r="F5" s="100" t="n"/>
      <c r="G5" s="100" t="n"/>
      <c r="H5" s="100" t="n"/>
      <c r="J5" s="16" t="inlineStr">
        <is>
          <t>&lt;&lt; Back to DASHBOARD</t>
        </is>
      </c>
    </row>
    <row r="6" ht="20" customHeight="1">
      <c r="A6" s="9" t="inlineStr">
        <is>
          <t xml:space="preserve">  SHIFT DATA  —  enter values for each active shift</t>
        </is>
      </c>
    </row>
    <row r="7" ht="18" customHeight="1">
      <c r="A7" s="104" t="inlineStr">
        <is>
          <t>Shift</t>
        </is>
      </c>
      <c r="B7" s="104" t="inlineStr">
        <is>
          <t>Cartons Shipped</t>
        </is>
      </c>
      <c r="C7" s="104" t="inlineStr">
        <is>
          <t>Total Staff</t>
        </is>
      </c>
      <c r="D7" s="104" t="inlineStr">
        <is>
          <t>Target / Person</t>
        </is>
      </c>
      <c r="E7" s="104" t="inlineStr">
        <is>
          <t>Audit Count</t>
        </is>
      </c>
      <c r="F7" s="100" t="n"/>
      <c r="G7" s="100" t="n"/>
      <c r="H7" s="100" t="n"/>
    </row>
    <row r="8" ht="30" customHeight="1">
      <c r="A8" s="105" t="inlineStr">
        <is>
          <t>Day</t>
        </is>
      </c>
      <c r="B8" s="106" t="n">
        <v>0</v>
      </c>
      <c r="C8" s="106" t="n">
        <v>0</v>
      </c>
      <c r="D8" s="106" t="n">
        <v>0</v>
      </c>
      <c r="E8" s="106" t="n">
        <v>0</v>
      </c>
      <c r="F8" s="100" t="n"/>
      <c r="G8" s="100" t="n"/>
      <c r="H8" s="100" t="n"/>
    </row>
    <row r="9" ht="30" customHeight="1">
      <c r="A9" s="107" t="inlineStr">
        <is>
          <t>Night</t>
        </is>
      </c>
      <c r="B9" s="108" t="n">
        <v>0</v>
      </c>
      <c r="C9" s="108" t="n">
        <v>0</v>
      </c>
      <c r="D9" s="108" t="n">
        <v>0</v>
      </c>
      <c r="E9" s="108" t="n">
        <v>0</v>
      </c>
      <c r="F9" s="100" t="n"/>
      <c r="G9" s="100" t="n"/>
      <c r="H9" s="100" t="n"/>
    </row>
    <row r="10" ht="8" customHeight="1">
      <c r="A10" s="100" t="n"/>
      <c r="B10" s="100" t="n"/>
      <c r="C10" s="100" t="n"/>
      <c r="D10" s="100" t="n"/>
      <c r="E10" s="100" t="n"/>
      <c r="F10" s="100" t="n"/>
      <c r="G10" s="100" t="n"/>
      <c r="H10" s="100" t="n"/>
    </row>
    <row r="11" ht="20" customHeight="1">
      <c r="A11" s="109" t="inlineStr">
        <is>
          <t xml:space="preserve">  EXCEPTION COUNTS  (optional — leave blank to use live values from data sheets)</t>
        </is>
      </c>
    </row>
    <row r="12" ht="24" customHeight="1">
      <c r="A12" s="110" t="inlineStr">
        <is>
          <t>HRP Open Items:</t>
        </is>
      </c>
      <c r="B12" s="111" t="inlineStr"/>
      <c r="C12" s="103" t="inlineStr">
        <is>
          <t>(blank = live count from IN_HRP)</t>
        </is>
      </c>
      <c r="D12" s="100" t="n"/>
      <c r="E12" s="100" t="n"/>
      <c r="F12" s="100" t="n"/>
      <c r="G12" s="100" t="n"/>
      <c r="H12" s="100" t="n"/>
    </row>
    <row r="13" ht="24" customHeight="1">
      <c r="A13" s="110" t="inlineStr">
        <is>
          <t>Packed Overdue:</t>
        </is>
      </c>
      <c r="B13" s="111" t="inlineStr"/>
      <c r="C13" s="103" t="inlineStr">
        <is>
          <t>(blank = live count from IN_PACKED)</t>
        </is>
      </c>
      <c r="D13" s="100" t="n"/>
      <c r="E13" s="100" t="n"/>
      <c r="F13" s="100" t="n"/>
      <c r="G13" s="100" t="n"/>
      <c r="H13" s="100" t="n"/>
    </row>
    <row r="14" ht="12" customHeight="1">
      <c r="A14" s="100" t="n"/>
      <c r="B14" s="100" t="n"/>
      <c r="C14" s="100" t="n"/>
      <c r="D14" s="100" t="n"/>
      <c r="E14" s="100" t="n"/>
      <c r="F14" s="100" t="n"/>
      <c r="G14" s="100" t="n"/>
      <c r="H14" s="100" t="n"/>
    </row>
    <row r="15" ht="30" customHeight="1">
      <c r="A15" s="100" t="n"/>
      <c r="B15" s="112" t="inlineStr">
        <is>
          <t>[ SUBMIT DAY ]</t>
        </is>
      </c>
      <c r="D15" s="100" t="n"/>
      <c r="E15" s="113" t="inlineStr">
        <is>
          <t>[ CLEAR FORM ]</t>
        </is>
      </c>
      <c r="G15" s="100" t="n"/>
      <c r="H15" s="100" t="n"/>
    </row>
    <row r="16" ht="16" customHeight="1">
      <c r="A16" s="100" t="n"/>
      <c r="B16" s="114" t="inlineStr">
        <is>
          <t>Save data and update HISTORY</t>
        </is>
      </c>
      <c r="D16" s="100" t="n"/>
      <c r="E16" s="114" t="inlineStr">
        <is>
          <t>Reset all fields to zero / today</t>
        </is>
      </c>
      <c r="G16" s="100" t="n"/>
      <c r="H16" s="100" t="n"/>
    </row>
    <row r="17" ht="8" customHeight="1">
      <c r="A17" s="100" t="n"/>
      <c r="B17" s="100" t="n"/>
      <c r="C17" s="100" t="n"/>
      <c r="D17" s="100" t="n"/>
      <c r="E17" s="100" t="n"/>
      <c r="F17" s="100" t="n"/>
      <c r="G17" s="100" t="n"/>
      <c r="H17" s="100" t="n"/>
    </row>
    <row r="18" ht="16" customHeight="1">
      <c r="A18" s="100" t="n"/>
      <c r="B18" s="115" t="inlineStr">
        <is>
          <t>&lt;&lt; Back to DASHBOARD</t>
        </is>
      </c>
      <c r="C18" s="100" t="n"/>
      <c r="D18" s="100" t="n"/>
      <c r="E18" s="100" t="n"/>
      <c r="F18" s="100" t="n"/>
      <c r="G18" s="100" t="n"/>
      <c r="H18" s="100" t="n"/>
    </row>
    <row r="19">
      <c r="A19" s="100" t="n"/>
      <c r="B19" s="100" t="n"/>
      <c r="C19" s="100" t="n"/>
      <c r="D19" s="100" t="n"/>
      <c r="E19" s="100" t="n"/>
      <c r="F19" s="100" t="n"/>
      <c r="G19" s="100" t="n"/>
      <c r="H19" s="100" t="n"/>
    </row>
    <row r="20">
      <c r="A20" s="100" t="n"/>
      <c r="B20" s="100" t="n"/>
      <c r="C20" s="100" t="n"/>
      <c r="D20" s="100" t="n"/>
      <c r="E20" s="100" t="n"/>
      <c r="F20" s="100" t="n"/>
      <c r="G20" s="100" t="n"/>
      <c r="H20" s="100" t="n"/>
    </row>
  </sheetData>
  <mergeCells count="14">
    <mergeCell ref="B16:C16"/>
    <mergeCell ref="A6:N6"/>
    <mergeCell ref="B15:C15"/>
    <mergeCell ref="E16:F16"/>
    <mergeCell ref="E15:F15"/>
    <mergeCell ref="K2:M2"/>
    <mergeCell ref="K3:M3"/>
    <mergeCell ref="K4:M4"/>
    <mergeCell ref="A2:H2"/>
    <mergeCell ref="J1:M1"/>
    <mergeCell ref="A11:H11"/>
    <mergeCell ref="A1:H1"/>
    <mergeCell ref="J5:M5"/>
    <mergeCell ref="B4:C4"/>
  </mergeCells>
  <hyperlinks>
    <hyperlink xmlns:r="http://schemas.openxmlformats.org/officeDocument/2006/relationships" ref="J5" r:id="rId1"/>
    <hyperlink xmlns:r="http://schemas.openxmlformats.org/officeDocument/2006/relationships" ref="B18" r:id="rId2"/>
  </hyperlinks>
  <pageMargins left="0.75" right="0.75" top="1" bottom="1" header="0.5" footer="0.5"/>
</worksheet>
</file>

<file path=xl/worksheets/sheet3.xml><?xml version="1.0" encoding="utf-8"?>
<worksheet xmlns="http://schemas.openxmlformats.org/spreadsheetml/2006/main">
  <sheetPr>
    <tabColor rgb="000070C0"/>
    <outlinePr summaryBelow="1" summaryRight="1"/>
    <pageSetUpPr/>
  </sheetPr>
  <dimension ref="A1:R5"/>
  <sheetViews>
    <sheetView workbookViewId="0">
      <selection activeCell="A1" sqref="A1"/>
    </sheetView>
  </sheetViews>
  <sheetFormatPr baseColWidth="8" defaultRowHeight="15"/>
  <cols>
    <col width="40" customWidth="1" min="1" max="1"/>
    <col width="12" customWidth="1" min="15" max="15"/>
    <col width="22" customWidth="1" min="16" max="16"/>
    <col width="22" customWidth="1" min="17" max="17"/>
    <col width="22" customWidth="1" min="18" max="18"/>
  </cols>
  <sheetData>
    <row r="1" ht="18" customHeight="1">
      <c r="A1" s="116" t="inlineStr">
        <is>
          <t>PERFORMANCE CHARTS  —  All charts update automatically as data is entered</t>
        </is>
      </c>
      <c r="O1" s="2" t="inlineStr">
        <is>
          <t>[i] SHEET GUIDE — CHARTS</t>
        </is>
      </c>
    </row>
    <row r="2" ht="36" customHeight="1">
      <c r="O2" s="6" t="inlineStr">
        <is>
          <t>PURPOSE:</t>
        </is>
      </c>
      <c r="P2" s="7" t="inlineStr">
        <is>
          <t>Auto-updating performance charts for trend analysis and reporting. All 5 charts refresh automatically as data is added to the input sheets.</t>
        </is>
      </c>
    </row>
    <row r="3" ht="36" customHeight="1">
      <c r="O3" s="6" t="inlineStr">
        <is>
          <t>DATA FLOW:</t>
        </is>
      </c>
      <c r="P3" s="7" t="inlineStr">
        <is>
          <t>IN: T_DISPATCH_DAILY (daily trend / staff), T_DISPATCH_KPI (per-shift cartons / audit %), HISTORY (HRP and packed overdue historical trend)  |  OUT: read-only visualisation — no other sheet reads from CHARTS</t>
        </is>
      </c>
    </row>
    <row r="4" ht="36" customHeight="1">
      <c r="O4" s="6" t="inlineStr">
        <is>
          <t>HOW TO USE:</t>
        </is>
      </c>
      <c r="P4" s="7" t="inlineStr">
        <is>
          <t>Charts update automatically — no manual action needed. Click TAKE DAILY SNAPSHOT on DASHBOARD to add data points to the HRP and Packed Overdue historical trend chart (Chart 3). Use browser print view or Excel's Chart Sheet option for reporting.</t>
        </is>
      </c>
    </row>
    <row r="5" ht="16" customHeight="1">
      <c r="O5" s="16" t="inlineStr">
        <is>
          <t>&lt;&lt; Back to DASHBOARD</t>
        </is>
      </c>
    </row>
  </sheetData>
  <mergeCells count="5">
    <mergeCell ref="P2:R2"/>
    <mergeCell ref="O5:R5"/>
    <mergeCell ref="P4:R4"/>
    <mergeCell ref="P3:R3"/>
    <mergeCell ref="O1:R1"/>
  </mergeCells>
  <hyperlinks>
    <hyperlink xmlns:r="http://schemas.openxmlformats.org/officeDocument/2006/relationships" ref="O5" r:id="rId1"/>
  </hyperlinks>
  <pageMargins left="0.75" right="0.75" top="1" bottom="1" header="0.5" footer="0.5"/>
  <drawing xmlns:r="http://schemas.openxmlformats.org/officeDocument/2006/relationships" r:id="rId2"/>
</worksheet>
</file>

<file path=xl/worksheets/sheet4.xml><?xml version="1.0" encoding="utf-8"?>
<worksheet xmlns="http://schemas.openxmlformats.org/spreadsheetml/2006/main">
  <sheetPr>
    <tabColor rgb="00808080"/>
    <outlinePr summaryBelow="1" summaryRight="1"/>
    <pageSetUpPr/>
  </sheetPr>
  <dimension ref="A1:K15"/>
  <sheetViews>
    <sheetView workbookViewId="0">
      <selection activeCell="A1" sqref="A1"/>
    </sheetView>
  </sheetViews>
  <sheetFormatPr baseColWidth="8" defaultRowHeight="15"/>
  <cols>
    <col width="40" customWidth="1" min="1" max="1"/>
    <col width="11" customWidth="1" min="2" max="2"/>
    <col width="40" customWidth="1" min="3" max="3"/>
    <col width="13" customWidth="1" min="4" max="4"/>
    <col width="18" customWidth="1" min="5" max="5"/>
    <col width="12" customWidth="1" min="8" max="8"/>
    <col width="22" customWidth="1" min="9" max="9"/>
    <col width="22" customWidth="1" min="10" max="10"/>
    <col width="22" customWidth="1" min="11" max="11"/>
  </cols>
  <sheetData>
    <row r="1" ht="18" customHeight="1">
      <c r="A1" s="117" t="inlineStr">
        <is>
          <t>CONFIG - DO NOT DELETE OR RENAME THIS SHEET</t>
        </is>
      </c>
      <c r="H1" s="2" t="inlineStr">
        <is>
          <t>[i] SHEET GUIDE — CONFIG</t>
        </is>
      </c>
    </row>
    <row r="2" ht="36" customHeight="1">
      <c r="H2" s="6" t="inlineStr">
        <is>
          <t>PURPOSE:</t>
        </is>
      </c>
      <c r="I2" s="7" t="inlineStr">
        <is>
          <t>Global rules and lookup lists for the entire workbook. KPI thresholds, shift schedules, and area names are all defined here and referenced by IN_HRP, IN_PACKED, and T_DISPATCH_KPI formulas.</t>
        </is>
      </c>
    </row>
    <row r="3" ht="36" customHeight="1">
      <c r="A3" s="118" t="inlineStr">
        <is>
          <t>SHIFTS</t>
        </is>
      </c>
      <c r="E3" s="118" t="inlineStr">
        <is>
          <t>AREA LIST</t>
        </is>
      </c>
      <c r="H3" s="6" t="inlineStr">
        <is>
          <t>DATA FLOW:</t>
        </is>
      </c>
      <c r="I3" s="7" t="inlineStr">
        <is>
          <t>IN: manual setup by the system administrator  |  OUT: → IN_HRP reads HRP_MaxDaysToShow (IncludeInHRP formula); → IN_PACKED reads Packed_MaxAgeDays (PackedStatus/ActionFlag); → T_DISPATCH_KPI reads Amber_Threshold, Green_Threshold (RAG), Audit_SampleSize (AuditTarget); → IN_STAFFING and IN_AUDIT_LOG use the Area List for validation</t>
        </is>
      </c>
    </row>
    <row r="4" ht="36" customHeight="1">
      <c r="A4" s="119" t="inlineStr">
        <is>
          <t>ShiftName</t>
        </is>
      </c>
      <c r="B4" s="119" t="inlineStr">
        <is>
          <t>StartTime</t>
        </is>
      </c>
      <c r="C4" s="119" t="inlineStr">
        <is>
          <t>EndTime</t>
        </is>
      </c>
      <c r="D4" s="119" t="inlineStr">
        <is>
          <t>DaysPerWeek</t>
        </is>
      </c>
      <c r="E4" s="119" t="inlineStr">
        <is>
          <t>AreaName</t>
        </is>
      </c>
      <c r="H4" s="6" t="inlineStr">
        <is>
          <t>HOW TO USE:</t>
        </is>
      </c>
      <c r="I4" s="7" t="inlineStr">
        <is>
          <t>Edit B11:B15 to change KPI thresholds. Edit E5:E7 to add or rename work areas (update IN_STAFFING and IN_AUDIT_LOG dropdowns to match). Do not rename or delete this sheet — every other sheet depends on it.</t>
        </is>
      </c>
    </row>
    <row r="5" ht="16" customHeight="1">
      <c r="A5" t="inlineStr">
        <is>
          <t>Day</t>
        </is>
      </c>
      <c r="B5" t="inlineStr">
        <is>
          <t>08:00</t>
        </is>
      </c>
      <c r="C5" t="inlineStr">
        <is>
          <t>16:00</t>
        </is>
      </c>
      <c r="D5" t="n">
        <v>6</v>
      </c>
      <c r="E5" t="inlineStr">
        <is>
          <t>Auditing</t>
        </is>
      </c>
      <c r="H5" s="16" t="inlineStr">
        <is>
          <t>&lt;&lt; Back to DASHBOARD</t>
        </is>
      </c>
    </row>
    <row r="6">
      <c r="A6" t="inlineStr">
        <is>
          <t>Night</t>
        </is>
      </c>
      <c r="B6" t="inlineStr">
        <is>
          <t>16:00</t>
        </is>
      </c>
      <c r="C6" t="inlineStr">
        <is>
          <t>00:00</t>
        </is>
      </c>
      <c r="D6" t="n">
        <v>6</v>
      </c>
      <c r="E6" t="inlineStr">
        <is>
          <t>Manual handover</t>
        </is>
      </c>
    </row>
    <row r="7">
      <c r="E7" t="inlineStr">
        <is>
          <t>Dispatch sealing</t>
        </is>
      </c>
    </row>
    <row r="8"/>
    <row r="9">
      <c r="A9" s="118" t="inlineStr">
        <is>
          <t>KPI RULES</t>
        </is>
      </c>
    </row>
    <row r="10">
      <c r="A10" s="119" t="inlineStr">
        <is>
          <t>RuleName</t>
        </is>
      </c>
      <c r="B10" s="119" t="inlineStr">
        <is>
          <t>Value</t>
        </is>
      </c>
      <c r="C10" s="119" t="inlineStr">
        <is>
          <t>Description</t>
        </is>
      </c>
    </row>
    <row r="11">
      <c r="A11" t="inlineStr">
        <is>
          <t>HRP_MaxDaysToShow</t>
        </is>
      </c>
      <c r="B11" t="n">
        <v>1</v>
      </c>
      <c r="C11" t="inlineStr">
        <is>
          <t>Max days since available for city</t>
        </is>
      </c>
    </row>
    <row r="12">
      <c r="A12" t="inlineStr">
        <is>
          <t>Packed_MaxAgeDays</t>
        </is>
      </c>
      <c r="B12" t="n">
        <v>2</v>
      </c>
      <c r="C12" t="inlineStr">
        <is>
          <t>Max age (days) before packed item is overdue</t>
        </is>
      </c>
    </row>
    <row r="13">
      <c r="A13" t="inlineStr">
        <is>
          <t>Audit_SampleSize</t>
        </is>
      </c>
      <c r="B13" t="n">
        <v>20</v>
      </c>
      <c r="C13" t="inlineStr">
        <is>
          <t>Required number of audits per shift</t>
        </is>
      </c>
    </row>
    <row r="14">
      <c r="A14" t="inlineStr">
        <is>
          <t>Amber_Threshold</t>
        </is>
      </c>
      <c r="B14" t="n">
        <v>0.9</v>
      </c>
      <c r="C14" t="inlineStr">
        <is>
          <t>Performance % for Amber RAG</t>
        </is>
      </c>
    </row>
    <row r="15">
      <c r="A15" t="inlineStr">
        <is>
          <t>Green_Threshold</t>
        </is>
      </c>
      <c r="B15" t="n">
        <v>1</v>
      </c>
      <c r="C15" t="inlineStr">
        <is>
          <t>Performance % for Green RAG</t>
        </is>
      </c>
    </row>
  </sheetData>
  <mergeCells count="5">
    <mergeCell ref="I2:K2"/>
    <mergeCell ref="I4:K4"/>
    <mergeCell ref="I3:K3"/>
    <mergeCell ref="H1:K1"/>
    <mergeCell ref="H5:K5"/>
  </mergeCells>
  <hyperlinks>
    <hyperlink xmlns:r="http://schemas.openxmlformats.org/officeDocument/2006/relationships" ref="H5" r:id="rId1"/>
  </hyperlinks>
  <pageMargins left="0.75" right="0.75" top="1" bottom="1" header="0.5" footer="0.5"/>
  <tableParts count="3">
    <tablePart xmlns:r="http://schemas.openxmlformats.org/officeDocument/2006/relationships" r:id="rId2"/>
    <tablePart xmlns:r="http://schemas.openxmlformats.org/officeDocument/2006/relationships" r:id="rId3"/>
    <tablePart xmlns:r="http://schemas.openxmlformats.org/officeDocument/2006/relationships" r:id="rId4"/>
  </tableParts>
</worksheet>
</file>

<file path=xl/worksheets/sheet5.xml><?xml version="1.0" encoding="utf-8"?>
<worksheet xmlns="http://schemas.openxmlformats.org/spreadsheetml/2006/main">
  <sheetPr>
    <tabColor rgb="000070C0"/>
    <outlinePr summaryBelow="1" summaryRight="1"/>
    <pageSetUpPr/>
  </sheetPr>
  <dimension ref="A1:W5"/>
  <sheetViews>
    <sheetView workbookViewId="0">
      <pane ySplit="1" topLeftCell="A2" activePane="bottomLeft" state="frozen"/>
      <selection pane="bottomLeft" activeCell="A1" sqref="A1"/>
    </sheetView>
  </sheetViews>
  <sheetFormatPr baseColWidth="8" defaultRowHeight="15"/>
  <cols>
    <col width="10" customWidth="1" min="1" max="1"/>
    <col width="10" customWidth="1" min="2" max="2"/>
    <col width="10" customWidth="1" min="3" max="3"/>
    <col width="10" customWidth="1" min="4" max="4"/>
    <col width="15" customWidth="1" min="5" max="5"/>
    <col width="14" customWidth="1" min="6" max="6"/>
    <col width="10" customWidth="1" min="7" max="7"/>
    <col width="10" customWidth="1" min="8" max="8"/>
    <col width="28" customWidth="1" min="9" max="9"/>
    <col width="18" customWidth="1" min="10" max="10"/>
    <col width="10" customWidth="1" min="11" max="11"/>
    <col width="10" customWidth="1" min="12" max="12"/>
    <col width="12" customWidth="1" min="13" max="13"/>
    <col width="21" customWidth="1" min="14" max="14"/>
    <col width="30" customWidth="1" min="15" max="15"/>
    <col width="36" customWidth="1" min="16" max="16"/>
    <col width="40" customWidth="1" min="17" max="17"/>
    <col width="40" customWidth="1" min="18" max="18"/>
    <col width="12" customWidth="1" min="20" max="20"/>
    <col width="22" customWidth="1" min="21" max="21"/>
    <col width="22" customWidth="1" min="22" max="22"/>
    <col width="22" customWidth="1" min="23" max="23"/>
  </cols>
  <sheetData>
    <row r="1" ht="18" customHeight="1">
      <c r="A1" s="119" t="inlineStr">
        <is>
          <t>LPN</t>
        </is>
      </c>
      <c r="B1" s="119" t="inlineStr">
        <is>
          <t>PALLET</t>
        </is>
      </c>
      <c r="C1" s="119" t="inlineStr">
        <is>
          <t>STORE</t>
        </is>
      </c>
      <c r="D1" s="119" t="inlineStr">
        <is>
          <t>DIVISION</t>
        </is>
      </c>
      <c r="E1" s="119" t="inlineStr">
        <is>
          <t>FACILITY_NAME</t>
        </is>
      </c>
      <c r="F1" s="119" t="inlineStr">
        <is>
          <t>STORE_STATUS</t>
        </is>
      </c>
      <c r="G1" s="119" t="inlineStr">
        <is>
          <t>PICK_LOC</t>
        </is>
      </c>
      <c r="H1" s="119" t="inlineStr">
        <is>
          <t>UNITS</t>
        </is>
      </c>
      <c r="I1" s="119" t="inlineStr">
        <is>
          <t>LAST_UPDATE</t>
        </is>
      </c>
      <c r="J1" s="119" t="inlineStr">
        <is>
          <t>DAYS_SINCE_CLOSE</t>
        </is>
      </c>
      <c r="K1" s="119" t="inlineStr">
        <is>
          <t>LOCKS</t>
        </is>
      </c>
      <c r="L1" s="119" t="inlineStr">
        <is>
          <t>TOT_COST</t>
        </is>
      </c>
      <c r="M1" s="119" t="inlineStr">
        <is>
          <t>TOT_RETAIL</t>
        </is>
      </c>
      <c r="N1" s="119" t="inlineStr">
        <is>
          <t>LAST_PACKED</t>
        </is>
      </c>
      <c r="O1" s="119" t="inlineStr">
        <is>
          <t>AgeDays</t>
        </is>
      </c>
      <c r="P1" s="119" t="inlineStr">
        <is>
          <t>IsShipped</t>
        </is>
      </c>
      <c r="Q1" s="119" t="inlineStr">
        <is>
          <t>PackedStatus</t>
        </is>
      </c>
      <c r="R1" s="119" t="inlineStr">
        <is>
          <t>ActionFlag</t>
        </is>
      </c>
      <c r="T1" s="2" t="inlineStr">
        <is>
          <t>[i] SHEET GUIDE — IN_PACKED</t>
        </is>
      </c>
    </row>
    <row r="2" ht="36" customHeight="1">
      <c r="A2" t="inlineStr">
        <is>
          <t>LPN001</t>
        </is>
      </c>
      <c r="B2" t="inlineStr">
        <is>
          <t>PLT001</t>
        </is>
      </c>
      <c r="C2" t="inlineStr">
        <is>
          <t>STORE01</t>
        </is>
      </c>
      <c r="D2" t="inlineStr">
        <is>
          <t>DIV01</t>
        </is>
      </c>
      <c r="E2" t="inlineStr">
        <is>
          <t>FACILITY A</t>
        </is>
      </c>
      <c r="F2" t="inlineStr">
        <is>
          <t>OPEN</t>
        </is>
      </c>
      <c r="G2" t="inlineStr">
        <is>
          <t>LOC001</t>
        </is>
      </c>
      <c r="H2" t="n">
        <v>10</v>
      </c>
      <c r="I2" s="120" t="n">
        <v>46141.50347632272</v>
      </c>
      <c r="J2" t="n">
        <v>1</v>
      </c>
      <c r="K2" t="n">
        <v>0</v>
      </c>
      <c r="L2" t="n">
        <v>100</v>
      </c>
      <c r="M2" t="n">
        <v>150</v>
      </c>
      <c r="N2" s="120" t="n">
        <v>46140.41666666666</v>
      </c>
      <c r="O2">
        <f>TODAY()-INT([@LAST_PACKED])</f>
        <v/>
      </c>
      <c r="P2">
        <f>COUNTIF(tblShipped[LPN],[@LPN])&gt;0</f>
        <v/>
      </c>
      <c r="Q2">
        <f>IF([@IsShipped],"Shipped",IF([@AgeDays]&gt;IFERROR(INDEX(tblConfig_Rules[Value],MATCH("Packed_MaxAgeDays",tblConfig_Rules[RuleName],0)),2),"Overdue","Pending"))</f>
        <v/>
      </c>
      <c r="R2">
        <f>AND(NOT([@IsShipped]),[@AgeDays]&gt;IFERROR(INDEX(tblConfig_Rules[Value],MATCH("Packed_MaxAgeDays",tblConfig_Rules[RuleName],0)),2))</f>
        <v/>
      </c>
      <c r="T2" s="6" t="inlineStr">
        <is>
          <t>PURPOSE:</t>
        </is>
      </c>
      <c r="U2" s="7" t="inlineStr">
        <is>
          <t>WMS feed: packed LPN inventory awaiting shipment. Overdue items are flagged using the Packed_MaxAgeDays threshold set in CONFIG.</t>
        </is>
      </c>
    </row>
    <row r="3" ht="36" customHeight="1">
      <c r="T3" s="6" t="inlineStr">
        <is>
          <t>DATA FLOW:</t>
        </is>
      </c>
      <c r="U3" s="7" t="inlineStr">
        <is>
          <t>IN: WMS packed report (paste daily into cols A–N)  |  OUT: → IN_SHIPPED_LPNS cross-checks IsShipped; → T_DISPATCH_KPI counts PackedOverdue; → ACTION_PACKED (via POPULATE ACTION SHEETS); → DATA_QUALITY</t>
        </is>
      </c>
    </row>
    <row r="4" ht="36" customHeight="1">
      <c r="T4" s="6" t="inlineStr">
        <is>
          <t>HOW TO USE:</t>
        </is>
      </c>
      <c r="U4" s="7" t="inlineStr">
        <is>
          <t>1. Paste latest WMS packed LPN export into cols A–N daily. 2. Columns O–R (AgeDays, IsShipped, PackedStatus, ActionFlag) recalculate automatically. 3. Rows where ActionFlag=TRUE appear in ACTION_PACKED after clicking POPULATE ACTION SHEETS on DASHBOARD.</t>
        </is>
      </c>
    </row>
    <row r="5" ht="16" customHeight="1">
      <c r="T5" s="16" t="inlineStr">
        <is>
          <t>&lt;&lt; Back to DASHBOARD</t>
        </is>
      </c>
    </row>
  </sheetData>
  <mergeCells count="5">
    <mergeCell ref="U2:W2"/>
    <mergeCell ref="U4:W4"/>
    <mergeCell ref="T5:W5"/>
    <mergeCell ref="U3:W3"/>
    <mergeCell ref="T1:W1"/>
  </mergeCells>
  <conditionalFormatting sqref="Q2:Q10000">
    <cfRule type="containsText" priority="1" operator="containsText" dxfId="3" text="Overdue"/>
    <cfRule type="containsText" priority="2" operator="containsText" dxfId="4" text="Shipped"/>
    <cfRule type="containsText" priority="3" operator="containsText" dxfId="5" text="Pending"/>
  </conditionalFormatting>
  <hyperlinks>
    <hyperlink xmlns:r="http://schemas.openxmlformats.org/officeDocument/2006/relationships" ref="T5" r:id="rId1"/>
  </hyperlinks>
  <pageMargins left="0.75" right="0.75" top="1" bottom="1" header="0.5" footer="0.5"/>
  <tableParts count="1">
    <tablePart xmlns:r="http://schemas.openxmlformats.org/officeDocument/2006/relationships" r:id="rId2"/>
  </tableParts>
</worksheet>
</file>

<file path=xl/worksheets/sheet6.xml><?xml version="1.0" encoding="utf-8"?>
<worksheet xmlns="http://schemas.openxmlformats.org/spreadsheetml/2006/main">
  <sheetPr>
    <tabColor rgb="0000B0F0"/>
    <outlinePr summaryBelow="1" summaryRight="1"/>
    <pageSetUpPr/>
  </sheetPr>
  <dimension ref="A1:V5"/>
  <sheetViews>
    <sheetView workbookViewId="0">
      <pane ySplit="1" topLeftCell="A2" activePane="bottomLeft" state="frozen"/>
      <selection pane="bottomLeft" activeCell="A1" sqref="A1"/>
    </sheetView>
  </sheetViews>
  <sheetFormatPr baseColWidth="8" defaultRowHeight="15"/>
  <cols>
    <col width="10" customWidth="1" min="1" max="1"/>
    <col width="31" customWidth="1" min="2" max="2"/>
    <col width="28" customWidth="1" min="3" max="3"/>
    <col width="10" customWidth="1" min="4" max="4"/>
    <col width="11" customWidth="1" min="5" max="5"/>
    <col width="14" customWidth="1" min="6" max="6"/>
    <col width="12" customWidth="1" min="7" max="7"/>
    <col width="14" customWidth="1" min="8" max="8"/>
    <col width="12" customWidth="1" min="9" max="9"/>
    <col width="18" customWidth="1" min="10" max="10"/>
    <col width="10" customWidth="1" min="11" max="11"/>
    <col width="12" customWidth="1" min="12" max="12"/>
    <col width="14" customWidth="1" min="13" max="13"/>
    <col width="39" customWidth="1" min="14" max="14"/>
    <col width="26" customWidth="1" min="15" max="15"/>
    <col width="40" customWidth="1" min="16" max="16"/>
    <col width="40" customWidth="1" min="17" max="17"/>
    <col width="12" customWidth="1" min="19" max="19"/>
    <col width="22" customWidth="1" min="20" max="20"/>
    <col width="22" customWidth="1" min="21" max="21"/>
    <col width="22" customWidth="1" min="22" max="22"/>
  </cols>
  <sheetData>
    <row r="1" ht="18" customHeight="1">
      <c r="A1" s="119" t="inlineStr">
        <is>
          <t>CATEGORY</t>
        </is>
      </c>
      <c r="B1" s="119" t="inlineStr">
        <is>
          <t>DAYS_SINCE_AVAILABLE_FOR_CITY</t>
        </is>
      </c>
      <c r="C1" s="119" t="inlineStr">
        <is>
          <t>DATE_SCANNED_TO_CITY</t>
        </is>
      </c>
      <c r="D1" s="119" t="inlineStr">
        <is>
          <t>OLPN</t>
        </is>
      </c>
      <c r="E1" s="119" t="inlineStr">
        <is>
          <t>XREF_OLPN</t>
        </is>
      </c>
      <c r="F1" s="119" t="inlineStr">
        <is>
          <t>STORE_NUMBER</t>
        </is>
      </c>
      <c r="G1" s="119" t="inlineStr">
        <is>
          <t>STORE_NAME</t>
        </is>
      </c>
      <c r="H1" s="119" t="inlineStr">
        <is>
          <t>CARTON_LOCKS</t>
        </is>
      </c>
      <c r="I1" s="119" t="inlineStr">
        <is>
          <t>LPN_STATUS</t>
        </is>
      </c>
      <c r="J1" s="119" t="inlineStr">
        <is>
          <t>STORE_ACK_STATUS</t>
        </is>
      </c>
      <c r="K1" s="119" t="inlineStr">
        <is>
          <t>UNITS</t>
        </is>
      </c>
      <c r="L1" s="119" t="inlineStr">
        <is>
          <t>COST_VALUE</t>
        </is>
      </c>
      <c r="M1" s="119" t="inlineStr">
        <is>
          <t>RETAIL_VALUE</t>
        </is>
      </c>
      <c r="N1" s="119" t="inlineStr">
        <is>
          <t>CartonID</t>
        </is>
      </c>
      <c r="O1" s="119" t="inlineStr">
        <is>
          <t>IsAcknowledged</t>
        </is>
      </c>
      <c r="P1" s="119" t="inlineStr">
        <is>
          <t>IncludeInHRP</t>
        </is>
      </c>
      <c r="Q1" s="119" t="inlineStr">
        <is>
          <t>AgeBucket</t>
        </is>
      </c>
      <c r="S1" s="2" t="inlineStr">
        <is>
          <t>[i] SHEET GUIDE — IN_HRP</t>
        </is>
      </c>
    </row>
    <row r="2" ht="36" customHeight="1">
      <c r="A2" t="inlineStr">
        <is>
          <t>HRP</t>
        </is>
      </c>
      <c r="B2" t="n">
        <v>0</v>
      </c>
      <c r="C2" s="120" t="n">
        <v>46141.50347635302</v>
      </c>
      <c r="D2" t="inlineStr">
        <is>
          <t>OLPN001</t>
        </is>
      </c>
      <c r="E2" t="inlineStr"/>
      <c r="F2" t="inlineStr">
        <is>
          <t>STORE01</t>
        </is>
      </c>
      <c r="G2" t="inlineStr">
        <is>
          <t>Store One</t>
        </is>
      </c>
      <c r="H2" t="n">
        <v>0</v>
      </c>
      <c r="I2" t="inlineStr">
        <is>
          <t>AVAILABLE</t>
        </is>
      </c>
      <c r="J2" t="inlineStr">
        <is>
          <t>N</t>
        </is>
      </c>
      <c r="K2" t="n">
        <v>5</v>
      </c>
      <c r="L2" t="n">
        <v>50</v>
      </c>
      <c r="M2" t="n">
        <v>75</v>
      </c>
      <c r="N2">
        <f>IF([@OLPN]&lt;&gt;"",[@OLPN],[@XREF_OLPN])</f>
        <v/>
      </c>
      <c r="O2">
        <f>[@STORE_ACK_STATUS]="Y"</f>
        <v/>
      </c>
      <c r="P2">
        <f>AND([@STORE_ACK_STATUS]="N",[@DAYS_SINCE_AVAILABLE_FOR_CITY]&lt;=IFERROR(INDEX(tblConfig_Rules[Value],MATCH("HRP_MaxDaysToShow",tblConfig_Rules[RuleName],0)),1))</f>
        <v/>
      </c>
      <c r="Q2">
        <f>IF([@DAYS_SINCE_AVAILABLE_FOR_CITY]=0,"&lt;24h","24h+")</f>
        <v/>
      </c>
      <c r="S2" s="6" t="inlineStr">
        <is>
          <t>PURPOSE:</t>
        </is>
      </c>
      <c r="T2" s="7" t="inlineStr">
        <is>
          <t>Hold-for-Release Parcels awaiting city store acknowledgement. IncludeInHRP flags unacknowledged items within the HRP_MaxDaysToShow threshold set in CONFIG.</t>
        </is>
      </c>
    </row>
    <row r="3" ht="36" customHeight="1">
      <c r="S3" s="6" t="inlineStr">
        <is>
          <t>DATA FLOW:</t>
        </is>
      </c>
      <c r="T3" s="7" t="inlineStr">
        <is>
          <t>IN: WMS HRP extract (paste daily into cols A–M)  |  OUT: → T_DISPATCH_KPI counts HRPOpen; → ACTION_HRP (via POPULATE ACTION SHEETS); → DATA_QUALITY</t>
        </is>
      </c>
    </row>
    <row r="4" ht="36" customHeight="1">
      <c r="S4" s="6" t="inlineStr">
        <is>
          <t>HOW TO USE:</t>
        </is>
      </c>
      <c r="T4" s="7" t="inlineStr">
        <is>
          <t>1. Paste latest WMS HRP report into cols A–M daily. 2. Set STORE_ACK_STATUS=Y when the city store has acknowledged the carton. 3. Cols N–Q (CartonID, IsAcknowledged, IncludeInHRP, AgeBucket) recalculate automatically. 4. IncludeInHRP=TRUE rows appear in ACTION_HRP after clicking POPULATE ACTION SHEETS on DASHBOARD.</t>
        </is>
      </c>
    </row>
    <row r="5" ht="16" customHeight="1">
      <c r="S5" s="16" t="inlineStr">
        <is>
          <t>&lt;&lt; Back to DASHBOARD</t>
        </is>
      </c>
    </row>
  </sheetData>
  <mergeCells count="5">
    <mergeCell ref="T2:V2"/>
    <mergeCell ref="T4:V4"/>
    <mergeCell ref="T3:V3"/>
    <mergeCell ref="S5:V5"/>
    <mergeCell ref="S1:V1"/>
  </mergeCells>
  <conditionalFormatting sqref="P2:P10000">
    <cfRule type="cellIs" priority="1" operator="equal" dxfId="3">
      <formula>TRUE</formula>
    </cfRule>
  </conditionalFormatting>
  <dataValidations count="1">
    <dataValidation sqref="J2:J10000" showDropDown="0" showInputMessage="1" showErrorMessage="0" allowBlank="1" promptTitle="Ack Status" prompt="Enter Y or N" type="list">
      <formula1>"Y,N"</formula1>
    </dataValidation>
  </dataValidations>
  <hyperlinks>
    <hyperlink xmlns:r="http://schemas.openxmlformats.org/officeDocument/2006/relationships" ref="S5" r:id="rId1"/>
  </hyperlinks>
  <pageMargins left="0.75" right="0.75" top="1" bottom="1" header="0.5" footer="0.5"/>
  <tableParts count="1">
    <tablePart xmlns:r="http://schemas.openxmlformats.org/officeDocument/2006/relationships" r:id="rId2"/>
  </tableParts>
</worksheet>
</file>

<file path=xl/worksheets/sheet7.xml><?xml version="1.0" encoding="utf-8"?>
<worksheet xmlns="http://schemas.openxmlformats.org/spreadsheetml/2006/main">
  <sheetPr>
    <tabColor rgb="0000B050"/>
    <outlinePr summaryBelow="1" summaryRight="1"/>
    <pageSetUpPr/>
  </sheetPr>
  <dimension ref="A1:K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10" customWidth="1" min="3" max="3"/>
    <col width="11" customWidth="1" min="4" max="4"/>
    <col width="10" customWidth="1" min="5" max="5"/>
    <col width="40" customWidth="1" min="6" max="6"/>
    <col width="12" customWidth="1" min="8" max="8"/>
    <col width="22" customWidth="1" min="9" max="9"/>
    <col width="22" customWidth="1" min="10" max="10"/>
    <col width="22" customWidth="1" min="11" max="11"/>
  </cols>
  <sheetData>
    <row r="1" ht="18" customHeight="1">
      <c r="A1" s="119" t="inlineStr">
        <is>
          <t>BusinessDate</t>
        </is>
      </c>
      <c r="B1" s="119" t="inlineStr">
        <is>
          <t>ShiftName</t>
        </is>
      </c>
      <c r="C1" s="119" t="inlineStr">
        <is>
          <t>LPN</t>
        </is>
      </c>
      <c r="D1" s="119" t="inlineStr">
        <is>
          <t>EnteredBy</t>
        </is>
      </c>
      <c r="E1" s="119" t="inlineStr">
        <is>
          <t>Notes</t>
        </is>
      </c>
      <c r="F1" s="119" t="inlineStr">
        <is>
          <t>DupFlag</t>
        </is>
      </c>
      <c r="H1" s="2" t="inlineStr">
        <is>
          <t>[i] SHEET GUIDE — IN_SHIPPED_LPNS</t>
        </is>
      </c>
    </row>
    <row r="2" ht="36" customHeight="1">
      <c r="A2" s="121" t="n">
        <v>46141</v>
      </c>
      <c r="B2" t="inlineStr">
        <is>
          <t>Day</t>
        </is>
      </c>
      <c r="C2" t="inlineStr">
        <is>
          <t>LPN001</t>
        </is>
      </c>
      <c r="D2" t="inlineStr">
        <is>
          <t>User1</t>
        </is>
      </c>
      <c r="E2" t="inlineStr"/>
      <c r="F2">
        <f>COUNTIFS([BusinessDate],[@BusinessDate],[ShiftName],[@ShiftName],[LPN],[@LPN])&gt;1</f>
        <v/>
      </c>
      <c r="H2" s="6" t="inlineStr">
        <is>
          <t>PURPOSE:</t>
        </is>
      </c>
      <c r="I2" s="7" t="inlineStr">
        <is>
          <t>Log of all LPNs physically shipped each shift. This is the primary source for the ShippedCartons KPI.</t>
        </is>
      </c>
    </row>
    <row r="3" ht="36" customHeight="1">
      <c r="H3" s="6" t="inlineStr">
        <is>
          <t>DATA FLOW:</t>
        </is>
      </c>
      <c r="I3" s="7" t="inlineStr">
        <is>
          <t>IN: manual entry per shift  |  OUT: → IN_PACKED calculates IsShipped (COUNTIF); → T_DISPATCH_KPI counts ShippedCartons (COUNTIFS by date+shift); → DATA_QUALITY (duplicate check)</t>
        </is>
      </c>
    </row>
    <row r="4" ht="36" customHeight="1">
      <c r="H4" s="6" t="inlineStr">
        <is>
          <t>HOW TO USE:</t>
        </is>
      </c>
      <c r="I4" s="7" t="inlineStr">
        <is>
          <t>Add one row per shipped LPN after each shift. Enter BusinessDate, ShiftName (Day or Night), LPN, and EnteredBy. DupFlag auto-highlights duplicate LPN entries for the same date and shift.</t>
        </is>
      </c>
    </row>
    <row r="5" ht="16" customHeight="1">
      <c r="H5" s="16" t="inlineStr">
        <is>
          <t>&lt;&lt; Back to DASHBOARD</t>
        </is>
      </c>
    </row>
  </sheetData>
  <mergeCells count="5">
    <mergeCell ref="I2:K2"/>
    <mergeCell ref="I4:K4"/>
    <mergeCell ref="I3:K3"/>
    <mergeCell ref="H1:K1"/>
    <mergeCell ref="H5:K5"/>
  </mergeCells>
  <conditionalFormatting sqref="F2:F10000">
    <cfRule type="cellIs" priority="1" operator="equal" dxfId="5">
      <formula>TRUE</formula>
    </cfRule>
  </conditionalFormatting>
  <dataValidations count="1">
    <dataValidation sqref="B2:B10000" showDropDown="0" showInputMessage="1" showErrorMessage="1" allowBlank="1" errorTitle="Invalid" error="Please select Day or Night" promptTitle="Shift" prompt="Select Day or Night" type="list">
      <formula1>"Day,Night"</formula1>
    </dataValidation>
  </dataValidations>
  <hyperlinks>
    <hyperlink xmlns:r="http://schemas.openxmlformats.org/officeDocument/2006/relationships" ref="H5" r:id="rId1"/>
  </hyperlinks>
  <pageMargins left="0.75" right="0.75" top="1" bottom="1" header="0.5" footer="0.5"/>
  <tableParts count="1">
    <tablePart xmlns:r="http://schemas.openxmlformats.org/officeDocument/2006/relationships" r:id="rId2"/>
  </tableParts>
</worksheet>
</file>

<file path=xl/worksheets/sheet8.xml><?xml version="1.0" encoding="utf-8"?>
<worksheet xmlns="http://schemas.openxmlformats.org/spreadsheetml/2006/main">
  <sheetPr>
    <tabColor rgb="0000B050"/>
    <outlinePr summaryBelow="1" summaryRight="1"/>
    <pageSetUpPr/>
  </sheetPr>
  <dimension ref="A1:D2"/>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18" customWidth="1" min="3" max="3"/>
    <col width="16" customWidth="1" min="4" max="4"/>
  </cols>
  <sheetData>
    <row r="1">
      <c r="A1" s="119" t="inlineStr">
        <is>
          <t>BusinessDate</t>
        </is>
      </c>
      <c r="B1" s="119" t="inlineStr">
        <is>
          <t>ShiftName</t>
        </is>
      </c>
      <c r="C1" s="119" t="inlineStr">
        <is>
          <t>Area</t>
        </is>
      </c>
      <c r="D1" s="119" t="inlineStr">
        <is>
          <t>StaffAvailable</t>
        </is>
      </c>
    </row>
    <row r="2">
      <c r="A2" s="121" t="n">
        <v>46141</v>
      </c>
      <c r="B2" t="inlineStr">
        <is>
          <t>Day</t>
        </is>
      </c>
      <c r="C2" t="inlineStr">
        <is>
          <t>Dispatch sealing</t>
        </is>
      </c>
      <c r="D2" t="n">
        <v>5</v>
      </c>
    </row>
  </sheetData>
  <dataValidations count="2">
    <dataValidation sqref="B2:B10000" showDropDown="0" showInputMessage="1" showErrorMessage="1" allowBlank="1" errorTitle="Invalid" error="Please select Day or Night" promptTitle="Shift" prompt="Select Day or Night" type="list">
      <formula1>"Day,Night"</formula1>
    </dataValidation>
    <dataValidation sqref="C2:C10000" showDropDown="0" showInputMessage="0" showErrorMessage="0" allowBlank="1" type="list">
      <formula1>"Auditing,Manual handover,Dispatch sealing"</formula1>
    </dataValidation>
  </dataValidations>
  <pageMargins left="0.75" right="0.75" top="1" bottom="1" header="0.5" footer="0.5"/>
  <tableParts count="1">
    <tablePart xmlns:r="http://schemas.openxmlformats.org/officeDocument/2006/relationships" r:id="rId1"/>
  </tableParts>
</worksheet>
</file>

<file path=xl/worksheets/sheet9.xml><?xml version="1.0" encoding="utf-8"?>
<worksheet xmlns="http://schemas.openxmlformats.org/spreadsheetml/2006/main">
  <sheetPr>
    <tabColor rgb="0000B050"/>
    <outlinePr summaryBelow="1" summaryRight="1"/>
    <pageSetUpPr/>
  </sheetPr>
  <dimension ref="A1:H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25" customWidth="1" min="3" max="3"/>
    <col width="12" customWidth="1" min="5" max="5"/>
    <col width="22" customWidth="1" min="6" max="6"/>
    <col width="22" customWidth="1" min="7" max="7"/>
    <col width="22" customWidth="1" min="8" max="8"/>
  </cols>
  <sheetData>
    <row r="1" ht="18" customHeight="1">
      <c r="A1" s="119" t="inlineStr">
        <is>
          <t>BusinessDate</t>
        </is>
      </c>
      <c r="B1" s="119" t="inlineStr">
        <is>
          <t>ShiftName</t>
        </is>
      </c>
      <c r="C1" s="119" t="inlineStr">
        <is>
          <t>TargetPerPersonPerShift</t>
        </is>
      </c>
      <c r="E1" s="2" t="inlineStr">
        <is>
          <t>[i] SHEET GUIDE — IN_TARGETS_DAILY</t>
        </is>
      </c>
    </row>
    <row r="2" ht="36" customHeight="1">
      <c r="A2" s="121" t="n">
        <v>46141</v>
      </c>
      <c r="B2" t="inlineStr">
        <is>
          <t>Day</t>
        </is>
      </c>
      <c r="C2" t="n">
        <v>50</v>
      </c>
      <c r="E2" s="6" t="inlineStr">
        <is>
          <t>PURPOSE:</t>
        </is>
      </c>
      <c r="F2" s="7" t="inlineStr">
        <is>
          <t>Daily carton target per person per shift. Combined with TotalStaff to calculate ExpectedCartons in T_DISPATCH_KPI.</t>
        </is>
      </c>
    </row>
    <row r="3" ht="36" customHeight="1">
      <c r="E3" s="6" t="inlineStr">
        <is>
          <t>DATA FLOW:</t>
        </is>
      </c>
      <c r="F3" s="7" t="inlineStr">
        <is>
          <t>IN: manual entry before each shift  |  OUT: → T_DISPATCH_KPI (TargetPerPerson → ExpectedCartons via SUMIFS)</t>
        </is>
      </c>
    </row>
    <row r="4" ht="36" customHeight="1">
      <c r="E4" s="6" t="inlineStr">
        <is>
          <t>HOW TO USE:</t>
        </is>
      </c>
      <c r="F4" s="7" t="inlineStr">
        <is>
          <t>Enter one row per shift per business date. TargetPerPersonPerShift = the number of cartons one person is expected to ship in that shift. Can be set once per week if the target does not change daily.</t>
        </is>
      </c>
    </row>
    <row r="5" ht="16" customHeight="1">
      <c r="E5" s="16" t="inlineStr">
        <is>
          <t>&lt;&lt; Back to DASHBOARD</t>
        </is>
      </c>
    </row>
  </sheetData>
  <mergeCells count="5">
    <mergeCell ref="F4:H4"/>
    <mergeCell ref="F2:H2"/>
    <mergeCell ref="E1:H1"/>
    <mergeCell ref="F3:H3"/>
    <mergeCell ref="E5:H5"/>
  </mergeCells>
  <dataValidations count="1">
    <dataValidation sqref="B2:B10000" showDropDown="0" showInputMessage="1" showErrorMessage="1" allowBlank="1" errorTitle="Invalid" error="Please select Day or Night" promptTitle="Shift" prompt="Select Day or Night" type="list">
      <formula1>"Day,Night"</formula1>
    </dataValidation>
  </dataValidations>
  <hyperlinks>
    <hyperlink xmlns:r="http://schemas.openxmlformats.org/officeDocument/2006/relationships" ref="E5" r:id="rId1"/>
  </hyperlinks>
  <pageMargins left="0.75" right="0.75" top="1" bottom="1" header="0.5" footer="0.5"/>
  <tableParts count="1">
    <tablePart xmlns:r="http://schemas.openxmlformats.org/officeDocument/2006/relationships" r:id="rId2"/>
  </tableParts>
</worksheet>
</file>

<file path=xl/worksheets/sheet10.xml><?xml version="1.0" encoding="utf-8"?>
<worksheet xmlns="http://schemas.openxmlformats.org/spreadsheetml/2006/main">
  <sheetPr>
    <tabColor rgb="0070AD47"/>
    <outlinePr summaryBelow="1" summaryRight="1"/>
    <pageSetUpPr/>
  </sheetPr>
  <dimension ref="A1:J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10" customWidth="1" min="3" max="3"/>
    <col width="12" customWidth="1" min="4" max="4"/>
    <col width="10" customWidth="1" min="5" max="5"/>
    <col width="12" customWidth="1" min="7" max="7"/>
    <col width="22" customWidth="1" min="8" max="8"/>
    <col width="22" customWidth="1" min="9" max="9"/>
    <col width="22" customWidth="1" min="10" max="10"/>
  </cols>
  <sheetData>
    <row r="1" ht="18" customHeight="1">
      <c r="A1" s="119" t="inlineStr">
        <is>
          <t>BusinessDate</t>
        </is>
      </c>
      <c r="B1" s="119" t="inlineStr">
        <is>
          <t>ShiftName</t>
        </is>
      </c>
      <c r="C1" s="119" t="inlineStr">
        <is>
          <t>Area</t>
        </is>
      </c>
      <c r="D1" s="119" t="inlineStr">
        <is>
          <t>AuditCount</t>
        </is>
      </c>
      <c r="E1" s="119" t="inlineStr">
        <is>
          <t>Notes</t>
        </is>
      </c>
      <c r="G1" s="2" t="inlineStr">
        <is>
          <t>[i] SHEET GUIDE — IN_AUDIT_LOG</t>
        </is>
      </c>
    </row>
    <row r="2" ht="36" customHeight="1">
      <c r="A2" s="121" t="n">
        <v>46141</v>
      </c>
      <c r="B2" t="inlineStr">
        <is>
          <t>Day</t>
        </is>
      </c>
      <c r="C2" t="inlineStr">
        <is>
          <t>Auditing</t>
        </is>
      </c>
      <c r="D2" t="n">
        <v>0</v>
      </c>
      <c r="E2" t="inlineStr"/>
      <c r="G2" s="6" t="inlineStr">
        <is>
          <t>PURPOSE:</t>
        </is>
      </c>
      <c r="H2" s="7" t="inlineStr">
        <is>
          <t>Quality audit counts per shift and work area. AuditPct in T_DISPATCH_KPI compares AuditCount against the Audit_SampleSize threshold set in CONFIG.</t>
        </is>
      </c>
    </row>
    <row r="3" ht="36" customHeight="1">
      <c r="G3" s="6" t="inlineStr">
        <is>
          <t>DATA FLOW:</t>
        </is>
      </c>
      <c r="H3" s="7" t="inlineStr">
        <is>
          <t>IN: manual entry after each shift  |  OUT: → T_DISPATCH_KPI (AuditCount, AuditPct via SUMIFS); → DASHBOARD AUDIT OVERVIEW section</t>
        </is>
      </c>
    </row>
    <row r="4" ht="36" customHeight="1">
      <c r="G4" s="6" t="inlineStr">
        <is>
          <t>HOW TO USE:</t>
        </is>
      </c>
      <c r="H4" s="7" t="inlineStr">
        <is>
          <t>Enter one row per shift per area after completing audits. AuditCount = number of audits completed in that shift/area. Compare to Audit_SampleSize in CONFIG (default 20). Area must match CONFIG Area List.</t>
        </is>
      </c>
    </row>
    <row r="5" ht="16" customHeight="1">
      <c r="G5" s="16" t="inlineStr">
        <is>
          <t>&lt;&lt; Back to DASHBOARD</t>
        </is>
      </c>
    </row>
  </sheetData>
  <mergeCells count="5">
    <mergeCell ref="H4:J4"/>
    <mergeCell ref="G1:J1"/>
    <mergeCell ref="H2:J2"/>
    <mergeCell ref="H3:J3"/>
    <mergeCell ref="G5:J5"/>
  </mergeCells>
  <dataValidations count="2">
    <dataValidation sqref="B2:B10000" showDropDown="0" showInputMessage="1" showErrorMessage="1" allowBlank="1" errorTitle="Invalid" error="Please select Day or Night" promptTitle="Shift" prompt="Select Day or Night" type="list">
      <formula1>"Day,Night"</formula1>
    </dataValidation>
    <dataValidation sqref="C2:C10000" showDropDown="0" showInputMessage="0" showErrorMessage="0" allowBlank="1" type="list">
      <formula1>"Auditing,Manual handover,Dispatch sealing"</formula1>
    </dataValidation>
  </dataValidations>
  <hyperlinks>
    <hyperlink xmlns:r="http://schemas.openxmlformats.org/officeDocument/2006/relationships" ref="G5" r:id="rId1"/>
  </hyperlinks>
  <pageMargins left="0.75" right="0.75" top="1" bottom="1" header="0.5" footer="0.5"/>
  <tableParts count="1">
    <tablePart xmlns:r="http://schemas.openxmlformats.org/officeDocument/2006/relationships" r:id="rId2"/>
  </tableParts>
</worksheet>
</file>

<file path=xl/worksheets/sheet11.xml><?xml version="1.0" encoding="utf-8"?>
<worksheet xmlns="http://schemas.openxmlformats.org/spreadsheetml/2006/main">
  <sheetPr>
    <tabColor rgb="00FFC000"/>
    <outlinePr summaryBelow="1" summaryRight="1"/>
    <pageSetUpPr/>
  </sheetPr>
  <dimension ref="A1:R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40" customWidth="1" min="3" max="3"/>
    <col width="40" customWidth="1" min="4" max="4"/>
    <col width="40" customWidth="1" min="5" max="5"/>
    <col width="35" customWidth="1" min="6" max="6"/>
    <col width="40" customWidth="1" min="7" max="7"/>
    <col width="40" customWidth="1" min="8" max="8"/>
    <col width="40" customWidth="1" min="9" max="9"/>
    <col width="40" customWidth="1" min="10" max="10"/>
    <col width="40" customWidth="1" min="11" max="11"/>
    <col width="37" customWidth="1" min="12" max="12"/>
    <col width="38" customWidth="1" min="13" max="13"/>
    <col width="12" customWidth="1" min="15" max="15"/>
    <col width="22" customWidth="1" min="16" max="16"/>
    <col width="22" customWidth="1" min="17" max="17"/>
    <col width="22" customWidth="1" min="18" max="18"/>
  </cols>
  <sheetData>
    <row r="1" ht="18" customHeight="1">
      <c r="A1" s="119" t="inlineStr">
        <is>
          <t>BusinessDate</t>
        </is>
      </c>
      <c r="B1" s="119" t="inlineStr">
        <is>
          <t>ShiftName</t>
        </is>
      </c>
      <c r="C1" s="119" t="inlineStr">
        <is>
          <t>ShippedCartons</t>
        </is>
      </c>
      <c r="D1" s="119" t="inlineStr">
        <is>
          <t>TotalStaff</t>
        </is>
      </c>
      <c r="E1" s="119" t="inlineStr">
        <is>
          <t>TargetPerPerson</t>
        </is>
      </c>
      <c r="F1" s="119" t="inlineStr">
        <is>
          <t>ExpectedCartons</t>
        </is>
      </c>
      <c r="G1" s="119" t="inlineStr">
        <is>
          <t>PerformancePct</t>
        </is>
      </c>
      <c r="H1" s="119" t="inlineStr">
        <is>
          <t>RAG</t>
        </is>
      </c>
      <c r="I1" s="119" t="inlineStr">
        <is>
          <t>AuditCount</t>
        </is>
      </c>
      <c r="J1" s="119" t="inlineStr">
        <is>
          <t>AuditTarget</t>
        </is>
      </c>
      <c r="K1" s="119" t="inlineStr">
        <is>
          <t>AuditPct</t>
        </is>
      </c>
      <c r="L1" s="119" t="inlineStr">
        <is>
          <t>HRPOpen</t>
        </is>
      </c>
      <c r="M1" s="119" t="inlineStr">
        <is>
          <t>PackedOverdue</t>
        </is>
      </c>
      <c r="O1" s="2" t="inlineStr">
        <is>
          <t>[i] SHEET GUIDE — T_DISPATCH_KPI</t>
        </is>
      </c>
    </row>
    <row r="2" ht="36" customHeight="1">
      <c r="A2" s="121" t="n">
        <v>46141</v>
      </c>
      <c r="B2" t="inlineStr">
        <is>
          <t>Day</t>
        </is>
      </c>
      <c r="C2">
        <f>COUNTIFS(tblShipped[BusinessDate],[@BusinessDate],tblShipped[ShiftName],[@ShiftName])</f>
        <v/>
      </c>
      <c r="D2">
        <f>SUMIFS(tblStaffing[StaffAvailable],tblStaffing[BusinessDate],[@BusinessDate],tblStaffing[ShiftName],[@ShiftName])</f>
        <v/>
      </c>
      <c r="E2">
        <f>IFERROR(SUMIFS(tblTargetsDaily[TargetPerPersonPerShift],tblTargetsDaily[BusinessDate],[@BusinessDate],tblTargetsDaily[ShiftName],[@ShiftName]),0)</f>
        <v/>
      </c>
      <c r="F2">
        <f>[@TotalStaff]*[@TargetPerPerson]</f>
        <v/>
      </c>
      <c r="G2" s="122">
        <f>IFERROR([@ShippedCartons]/[@ExpectedCartons],0)</f>
        <v/>
      </c>
      <c r="H2">
        <f>IF([@PerformancePct]&gt;=IFERROR(INDEX(tblConfig_Rules[Value],MATCH("Green_Threshold",tblConfig_Rules[RuleName],0)),1),"Green",IF([@PerformancePct]&gt;=IFERROR(INDEX(tblConfig_Rules[Value],MATCH("Amber_Threshold",tblConfig_Rules[RuleName],0)),0.9),"Amber","Red"))</f>
        <v/>
      </c>
      <c r="I2">
        <f>SUMIFS(tblAuditLog[AuditCount],tblAuditLog[BusinessDate],[@BusinessDate],tblAuditLog[ShiftName],[@ShiftName])</f>
        <v/>
      </c>
      <c r="J2">
        <f>IFERROR(INDEX(tblConfig_Rules[Value],MATCH("Audit_SampleSize",tblConfig_Rules[RuleName],0)),20)</f>
        <v/>
      </c>
      <c r="K2" s="122">
        <f>IFERROR([@AuditCount]/[@AuditTarget],0)</f>
        <v/>
      </c>
      <c r="L2">
        <f>COUNTIF(tblHRP[IncludeInHRP],TRUE)</f>
        <v/>
      </c>
      <c r="M2">
        <f>COUNTIF(tblPacked[ActionFlag],TRUE)</f>
        <v/>
      </c>
      <c r="O2" s="6" t="inlineStr">
        <is>
          <t>PURPOSE:</t>
        </is>
      </c>
      <c r="P2" s="7" t="inlineStr">
        <is>
          <t>Auto-calculated per-shift KPI summary table. All formula columns recalculate automatically — do not enter data here directly. RAG uses CONFIG Green_Threshold and Amber_Threshold; TargetPerPerson reads IN_TARGETS_DAILY.</t>
        </is>
      </c>
    </row>
    <row r="3" ht="36" customHeight="1">
      <c r="O3" s="6" t="inlineStr">
        <is>
          <t>DATA FLOW:</t>
        </is>
      </c>
      <c r="P3" s="7" t="inlineStr">
        <is>
          <t>IN: formulas read from IN_SHIPPED_LPNS (ShippedCartons), IN_STAFFING (TotalStaff), IN_TARGETS_DAILY (TargetPerPerson), IN_AUDIT_LOG (AuditCount), IN_HRP (HRPOpen), IN_PACKED (PackedOverdue), CONFIG (thresholds)  |  OUT: → T_DISPATCH_DAILY (daily aggregates); → DASHBOARD (KPI cards); → HISTORY (via TAKE DAILY SNAPSHOT)</t>
        </is>
      </c>
    </row>
    <row r="4" ht="36" customHeight="1">
      <c r="O4" s="6" t="inlineStr">
        <is>
          <t>HOW TO USE:</t>
        </is>
      </c>
      <c r="P4" s="7" t="inlineStr">
        <is>
          <t>Rows are created automatically by DAILY_ENTRY (SUBMIT DAY button) or by manually typing a BusinessDate and ShiftName — all other columns calculate automatically. Do not overwrite formula cells. Click TAKE DAILY SNAPSHOT on DASHBOARD to archive the current values to HISTORY.</t>
        </is>
      </c>
    </row>
    <row r="5" ht="16" customHeight="1">
      <c r="O5" s="16" t="inlineStr">
        <is>
          <t>&lt;&lt; Back to DASHBOARD</t>
        </is>
      </c>
    </row>
  </sheetData>
  <mergeCells count="5">
    <mergeCell ref="P2:R2"/>
    <mergeCell ref="O5:R5"/>
    <mergeCell ref="P4:R4"/>
    <mergeCell ref="P3:R3"/>
    <mergeCell ref="O1:R1"/>
  </mergeCells>
  <conditionalFormatting sqref="H2:H10000">
    <cfRule type="containsText" priority="1" operator="containsText" dxfId="4" text="Green"/>
    <cfRule type="containsText" priority="2" operator="containsText" dxfId="5" text="Amber"/>
    <cfRule type="containsText" priority="3" operator="containsText" dxfId="6" text="Red"/>
  </conditionalFormatting>
  <conditionalFormatting sqref="K2:K10000">
    <cfRule type="dataBar" priority="4">
      <dataBar>
        <cfvo type="num" val="0"/>
        <cfvo type="num" val="1"/>
        <color rgb="FF70AD47"/>
      </dataBar>
    </cfRule>
  </conditionalFormatting>
  <hyperlinks>
    <hyperlink xmlns:r="http://schemas.openxmlformats.org/officeDocument/2006/relationships" ref="O5" r:id="rId1"/>
  </hyperlinks>
  <pageMargins left="0.75" right="0.75" top="1" bottom="1" header="0.5" footer="0.5"/>
  <tableParts count="1">
    <tablePart xmlns:r="http://schemas.openxmlformats.org/officeDocument/2006/relationships" r:id="rId2"/>
  </tableParts>
</worksheet>
</file>

<file path=xl/worksheets/sheet12.xml><?xml version="1.0" encoding="utf-8"?>
<worksheet xmlns="http://schemas.openxmlformats.org/spreadsheetml/2006/main">
  <sheetPr>
    <tabColor rgb="00FFC000"/>
    <outlinePr summaryBelow="1" summaryRight="1"/>
    <pageSetUpPr/>
  </sheetPr>
  <dimension ref="A1:J5"/>
  <sheetViews>
    <sheetView workbookViewId="0">
      <pane ySplit="1" topLeftCell="A2" activePane="bottomLeft" state="frozen"/>
      <selection pane="bottomLeft" activeCell="A1" sqref="A1"/>
    </sheetView>
  </sheetViews>
  <sheetFormatPr baseColWidth="8" defaultRowHeight="15"/>
  <cols>
    <col width="14" customWidth="1" min="1" max="1"/>
    <col width="40" customWidth="1" min="2" max="2"/>
    <col width="40" customWidth="1" min="3" max="3"/>
    <col width="40" customWidth="1" min="4" max="4"/>
    <col width="40" customWidth="1" min="5" max="5"/>
    <col width="12" customWidth="1" min="7" max="7"/>
    <col width="22" customWidth="1" min="8" max="8"/>
    <col width="22" customWidth="1" min="9" max="9"/>
    <col width="22" customWidth="1" min="10" max="10"/>
  </cols>
  <sheetData>
    <row r="1" ht="18" customHeight="1">
      <c r="A1" s="119" t="inlineStr">
        <is>
          <t>BusinessDate</t>
        </is>
      </c>
      <c r="B1" s="119" t="inlineStr">
        <is>
          <t>TotalShipped</t>
        </is>
      </c>
      <c r="C1" s="119" t="inlineStr">
        <is>
          <t>TotalStaff</t>
        </is>
      </c>
      <c r="D1" s="119" t="inlineStr">
        <is>
          <t>TotalExpected</t>
        </is>
      </c>
      <c r="E1" s="119" t="inlineStr">
        <is>
          <t>DailyPerformancePct</t>
        </is>
      </c>
      <c r="G1" s="2" t="inlineStr">
        <is>
          <t>[i] SHEET GUIDE — T_DISPATCH_DAILY</t>
        </is>
      </c>
    </row>
    <row r="2" ht="36" customHeight="1">
      <c r="A2" s="121" t="n">
        <v>46141</v>
      </c>
      <c r="B2">
        <f>SUMIF(tblDispatchKPI[BusinessDate],[@BusinessDate],tblDispatchKPI[ShippedCartons])</f>
        <v/>
      </c>
      <c r="C2">
        <f>SUMIF(tblDispatchKPI[BusinessDate],[@BusinessDate],tblDispatchKPI[TotalStaff])</f>
        <v/>
      </c>
      <c r="D2">
        <f>SUMIF(tblDispatchKPI[BusinessDate],[@BusinessDate],tblDispatchKPI[ExpectedCartons])</f>
        <v/>
      </c>
      <c r="E2" s="122">
        <f>IFERROR([@TotalShipped]/[@TotalExpected],0)</f>
        <v/>
      </c>
      <c r="G2" s="6" t="inlineStr">
        <is>
          <t>PURPOSE:</t>
        </is>
      </c>
      <c r="H2" s="7" t="inlineStr">
        <is>
          <t>Daily aggregate KPIs — sums Day and Night shift data into one row per date. Used by the DASHBOARD weekly/monthly summaries and CHARTS trend lines.</t>
        </is>
      </c>
    </row>
    <row r="3" ht="36" customHeight="1">
      <c r="G3" s="6" t="inlineStr">
        <is>
          <t>DATA FLOW:</t>
        </is>
      </c>
      <c r="H3" s="7" t="inlineStr">
        <is>
          <t>IN: formulas read from T_DISPATCH_KPI (summed by BusinessDate via SUMIF)  |  OUT: → DASHBOARD (Today / Weekly / Monthly KPI cards); → CHARTS (daily trend charts)</t>
        </is>
      </c>
    </row>
    <row r="4" ht="36" customHeight="1">
      <c r="G4" s="6" t="inlineStr">
        <is>
          <t>HOW TO USE:</t>
        </is>
      </c>
      <c r="H4" s="7" t="inlineStr">
        <is>
          <t>Fully automatic. Rows here update the moment T_DISPATCH_KPI rows are added. Do not enter data directly. One row per unique BusinessDate appears automatically.</t>
        </is>
      </c>
    </row>
    <row r="5" ht="16" customHeight="1">
      <c r="G5" s="16" t="inlineStr">
        <is>
          <t>&lt;&lt; Back to DASHBOARD</t>
        </is>
      </c>
    </row>
  </sheetData>
  <mergeCells count="5">
    <mergeCell ref="H4:J4"/>
    <mergeCell ref="G1:J1"/>
    <mergeCell ref="H2:J2"/>
    <mergeCell ref="H3:J3"/>
    <mergeCell ref="G5:J5"/>
  </mergeCells>
  <hyperlinks>
    <hyperlink xmlns:r="http://schemas.openxmlformats.org/officeDocument/2006/relationships" ref="G5" r:id="rId1"/>
  </hyperlinks>
  <pageMargins left="0.75" right="0.75" top="1" bottom="1" header="0.5" footer="0.5"/>
  <tableParts count="1">
    <tablePart xmlns:r="http://schemas.openxmlformats.org/officeDocument/2006/relationships" r:id="rId2"/>
  </tableParts>
</worksheet>
</file>

<file path=xl/worksheets/sheet13.xml><?xml version="1.0" encoding="utf-8"?>
<worksheet xmlns="http://schemas.openxmlformats.org/spreadsheetml/2006/main">
  <sheetPr>
    <tabColor rgb="00C00000"/>
    <outlinePr summaryBelow="1" summaryRight="1"/>
    <pageSetUpPr/>
  </sheetPr>
  <dimension ref="A1:L2"/>
  <sheetViews>
    <sheetView workbookViewId="0">
      <pane ySplit="1" topLeftCell="A2" activePane="bottomLeft" state="frozen"/>
      <selection pane="bottomLeft" activeCell="A1" sqref="A1"/>
    </sheetView>
  </sheetViews>
  <sheetFormatPr baseColWidth="8" defaultRowHeight="15"/>
  <cols>
    <col width="40" customWidth="1" min="1" max="1"/>
    <col width="10" customWidth="1" min="2" max="2"/>
    <col width="14" customWidth="1" min="3" max="3"/>
    <col width="12" customWidth="1" min="4" max="4"/>
    <col width="31" customWidth="1" min="5" max="5"/>
    <col width="18" customWidth="1" min="6" max="6"/>
    <col width="10" customWidth="1" min="7" max="7"/>
    <col width="12" customWidth="1" min="8" max="8"/>
    <col width="10" customWidth="1" min="9" max="9"/>
    <col width="15" customWidth="1" min="10" max="10"/>
    <col width="13" customWidth="1" min="11" max="11"/>
    <col width="10" customWidth="1" min="12" max="12"/>
  </cols>
  <sheetData>
    <row r="1">
      <c r="A1" s="123" t="inlineStr">
        <is>
          <t>CATEGORY</t>
        </is>
      </c>
      <c r="B1" s="123" t="inlineStr">
        <is>
          <t>CartonID</t>
        </is>
      </c>
      <c r="C1" s="123" t="inlineStr">
        <is>
          <t>STORE_NUMBER</t>
        </is>
      </c>
      <c r="D1" s="123" t="inlineStr">
        <is>
          <t>STORE_NAME</t>
        </is>
      </c>
      <c r="E1" s="123" t="inlineStr">
        <is>
          <t>DAYS_SINCE_AVAILABLE_FOR_CITY</t>
        </is>
      </c>
      <c r="F1" s="123" t="inlineStr">
        <is>
          <t>STORE_ACK_STATUS</t>
        </is>
      </c>
      <c r="G1" s="123" t="inlineStr">
        <is>
          <t>UNITS</t>
        </is>
      </c>
      <c r="H1" s="123" t="inlineStr">
        <is>
          <t>COST_VALUE</t>
        </is>
      </c>
      <c r="I1" s="123" t="inlineStr">
        <is>
          <t>Owner</t>
        </is>
      </c>
      <c r="J1" s="123" t="inlineStr">
        <is>
          <t>ContactedCity</t>
        </is>
      </c>
      <c r="K1" s="123" t="inlineStr">
        <is>
          <t>ContactTime</t>
        </is>
      </c>
      <c r="L1" s="123" t="inlineStr">
        <is>
          <t>NextStep</t>
        </is>
      </c>
    </row>
    <row r="2">
      <c r="A2" s="124" t="inlineStr">
        <is>
          <t>-- Populate via 'POPULATE ACTION SHEETS' button on DASHBOARD --</t>
        </is>
      </c>
    </row>
  </sheetData>
  <dataValidations count="1">
    <dataValidation sqref="J2:J10000" showDropDown="0" showInputMessage="0" showErrorMessage="0" allowBlank="1" type="list">
      <formula1>"Y,N"</formula1>
    </dataValidation>
  </dataValidations>
  <pageMargins left="0.75" right="0.75" top="1" bottom="1" header="0.5" footer="0.5"/>
</worksheet>
</file>

<file path=xl/worksheets/sheet14.xml><?xml version="1.0" encoding="utf-8"?>
<worksheet xmlns="http://schemas.openxmlformats.org/spreadsheetml/2006/main">
  <sheetPr>
    <tabColor rgb="00C00000"/>
    <outlinePr summaryBelow="1" summaryRight="1"/>
    <pageSetUpPr/>
  </sheetPr>
  <dimension ref="A1:N5"/>
  <sheetViews>
    <sheetView workbookViewId="0">
      <pane ySplit="1" topLeftCell="A2" activePane="bottomLeft" state="frozen"/>
      <selection pane="bottomLeft" activeCell="A1" sqref="A1"/>
    </sheetView>
  </sheetViews>
  <sheetFormatPr baseColWidth="8" defaultRowHeight="15"/>
  <cols>
    <col width="40" customWidth="1" min="1" max="1"/>
    <col width="10" customWidth="1" min="2" max="2"/>
    <col width="10" customWidth="1" min="3" max="3"/>
    <col width="10" customWidth="1" min="4" max="4"/>
    <col width="14" customWidth="1" min="5" max="5"/>
    <col width="10" customWidth="1" min="6" max="6"/>
    <col width="12" customWidth="1" min="7" max="7"/>
    <col width="10" customWidth="1" min="8" max="8"/>
    <col width="17" customWidth="1" min="9" max="9"/>
    <col width="12" customWidth="1" min="11" max="11"/>
    <col width="22" customWidth="1" min="12" max="12"/>
    <col width="22" customWidth="1" min="13" max="13"/>
    <col width="22" customWidth="1" min="14" max="14"/>
  </cols>
  <sheetData>
    <row r="1" ht="18" customHeight="1">
      <c r="A1" s="123" t="inlineStr">
        <is>
          <t>LPN</t>
        </is>
      </c>
      <c r="B1" s="123" t="inlineStr">
        <is>
          <t>STORE</t>
        </is>
      </c>
      <c r="C1" s="123" t="inlineStr">
        <is>
          <t>DIVISION</t>
        </is>
      </c>
      <c r="D1" s="123" t="inlineStr">
        <is>
          <t>AgeDays</t>
        </is>
      </c>
      <c r="E1" s="123" t="inlineStr">
        <is>
          <t>PackedStatus</t>
        </is>
      </c>
      <c r="F1" s="123" t="inlineStr">
        <is>
          <t>UNITS</t>
        </is>
      </c>
      <c r="G1" s="123" t="inlineStr">
        <is>
          <t>HoldReason</t>
        </is>
      </c>
      <c r="H1" s="123" t="inlineStr">
        <is>
          <t>Owner</t>
        </is>
      </c>
      <c r="I1" s="123" t="inlineStr">
        <is>
          <t>PlannedShipTime</t>
        </is>
      </c>
      <c r="K1" s="2" t="inlineStr">
        <is>
          <t>[i] SHEET GUIDE — ACTION_PACKED</t>
        </is>
      </c>
    </row>
    <row r="2" ht="36" customHeight="1">
      <c r="A2" s="124" t="inlineStr">
        <is>
          <t>-- Populate via 'POPULATE ACTION SHEETS' button on DASHBOARD --</t>
        </is>
      </c>
      <c r="K2" s="6" t="inlineStr">
        <is>
          <t>PURPOSE:</t>
        </is>
      </c>
      <c r="L2" s="7" t="inlineStr">
        <is>
          <t>Working action list for overdue packed items (ActionFlag=TRUE), sorted by AgeDays descending (oldest first). The overdue threshold is Packed_MaxAgeDays in CONFIG.</t>
        </is>
      </c>
    </row>
    <row r="3" ht="36" customHeight="1">
      <c r="K3" s="6" t="inlineStr">
        <is>
          <t>DATA FLOW:</t>
        </is>
      </c>
      <c r="L3" s="7" t="inlineStr">
        <is>
          <t>IN: populated from IN_PACKED (rows where ActionFlag=TRUE) via POPULATE ACTION SHEETS button on DASHBOARD  |  OUT: manual action tracking only — no formulas read from this sheet</t>
        </is>
      </c>
    </row>
    <row r="4" ht="36" customHeight="1">
      <c r="K4" s="6" t="inlineStr">
        <is>
          <t>HOW TO USE:</t>
        </is>
      </c>
      <c r="L4" s="7" t="inlineStr">
        <is>
          <t>1. Click POPULATE ACTION SHEETS on DASHBOARD to refresh. 2. Fill in HoldReason, Owner, and PlannedShipTime for each overdue LPN. 3. Once shipped, re-paste IN_PACKED data and click POPULATE again — shipped items will no longer appear.</t>
        </is>
      </c>
    </row>
    <row r="5" ht="16" customHeight="1">
      <c r="K5" s="16" t="inlineStr">
        <is>
          <t>&lt;&lt; Back to DASHBOARD</t>
        </is>
      </c>
    </row>
  </sheetData>
  <mergeCells count="5">
    <mergeCell ref="L4:N4"/>
    <mergeCell ref="K1:N1"/>
    <mergeCell ref="L2:N2"/>
    <mergeCell ref="L3:N3"/>
    <mergeCell ref="K5:N5"/>
  </mergeCells>
  <conditionalFormatting sqref="E2:E10000">
    <cfRule type="containsText" priority="1" operator="containsText" dxfId="3" text="Overdue"/>
    <cfRule type="containsText" priority="2" operator="containsText" dxfId="5" text="Pending"/>
  </conditionalFormatting>
  <hyperlinks>
    <hyperlink xmlns:r="http://schemas.openxmlformats.org/officeDocument/2006/relationships" ref="K5" r:id="rId1"/>
  </hyperlinks>
  <pageMargins left="0.75" right="0.75" top="1" bottom="1" header="0.5" footer="0.5"/>
</worksheet>
</file>

<file path=xl/worksheets/sheet15.xml><?xml version="1.0" encoding="utf-8"?>
<worksheet xmlns="http://schemas.openxmlformats.org/spreadsheetml/2006/main">
  <sheetPr>
    <tabColor rgb="00808080"/>
    <outlinePr summaryBelow="1" summaryRight="1"/>
    <pageSetUpPr/>
  </sheetPr>
  <dimension ref="A1:P5"/>
  <sheetViews>
    <sheetView workbookViewId="0">
      <selection activeCell="A1" sqref="A1"/>
    </sheetView>
  </sheetViews>
  <sheetFormatPr baseColWidth="8" defaultRowHeight="15"/>
  <cols>
    <col width="19" customWidth="1" min="1" max="1"/>
    <col width="14" customWidth="1" min="2" max="2"/>
    <col width="11" customWidth="1" min="3" max="3"/>
    <col width="16" customWidth="1" min="4" max="4"/>
    <col width="12" customWidth="1" min="5" max="5"/>
    <col width="17" customWidth="1" min="6" max="6"/>
    <col width="16" customWidth="1" min="7" max="7"/>
    <col width="10" customWidth="1" min="8" max="8"/>
    <col width="15" customWidth="1" min="9" max="9"/>
    <col width="21" customWidth="1" min="10" max="10"/>
    <col width="12" customWidth="1" min="11" max="11"/>
    <col width="12" customWidth="1" min="13" max="13"/>
    <col width="22" customWidth="1" min="14" max="14"/>
    <col width="22" customWidth="1" min="15" max="15"/>
    <col width="22" customWidth="1" min="16" max="16"/>
  </cols>
  <sheetData>
    <row r="1" ht="18" customHeight="1">
      <c r="A1" s="119" t="inlineStr">
        <is>
          <t>SnapshotTimestamp</t>
        </is>
      </c>
      <c r="B1" s="119" t="inlineStr">
        <is>
          <t>BusinessDate</t>
        </is>
      </c>
      <c r="C1" s="119" t="inlineStr">
        <is>
          <t>ShiftName</t>
        </is>
      </c>
      <c r="D1" s="119" t="inlineStr">
        <is>
          <t>ShippedCartons</t>
        </is>
      </c>
      <c r="E1" s="119" t="inlineStr">
        <is>
          <t>TotalStaff</t>
        </is>
      </c>
      <c r="F1" s="119" t="inlineStr">
        <is>
          <t>ExpectedCartons</t>
        </is>
      </c>
      <c r="G1" s="119" t="inlineStr">
        <is>
          <t>PerformancePct</t>
        </is>
      </c>
      <c r="H1" s="119" t="inlineStr">
        <is>
          <t>RAG</t>
        </is>
      </c>
      <c r="I1" s="119" t="inlineStr">
        <is>
          <t>HRP_OpenCount</t>
        </is>
      </c>
      <c r="J1" s="119" t="inlineStr">
        <is>
          <t>Packed_OverdueCount</t>
        </is>
      </c>
      <c r="K1" s="119" t="inlineStr">
        <is>
          <t>AuditCount</t>
        </is>
      </c>
      <c r="M1" s="2" t="inlineStr">
        <is>
          <t>[i] SHEET GUIDE — HISTORY</t>
        </is>
      </c>
    </row>
    <row r="2" ht="36" customHeight="1">
      <c r="A2" t="inlineStr"/>
      <c r="B2" t="inlineStr"/>
      <c r="C2" t="inlineStr"/>
      <c r="D2" t="inlineStr"/>
      <c r="E2" t="inlineStr"/>
      <c r="F2" t="inlineStr"/>
      <c r="G2" t="inlineStr"/>
      <c r="H2" t="inlineStr"/>
      <c r="I2" t="inlineStr"/>
      <c r="J2" t="inlineStr"/>
      <c r="K2" t="inlineStr"/>
      <c r="M2" s="6" t="inlineStr">
        <is>
          <t>PURPOSE:</t>
        </is>
      </c>
      <c r="N2" s="7" t="inlineStr">
        <is>
          <t>Immutable time-series log of KPI snapshots. Each row is a point-in-time record of one shift's KPIs. Used for trend analysis, auditing, and the CHARTS sheet.</t>
        </is>
      </c>
    </row>
    <row r="3" ht="36" customHeight="1">
      <c r="M3" s="6" t="inlineStr">
        <is>
          <t>DATA FLOW:</t>
        </is>
      </c>
      <c r="N3" s="7" t="inlineStr">
        <is>
          <t>IN: populated from T_DISPATCH_KPI via TAKE DAILY SNAPSHOT button on DASHBOARD (one row per shift per snapshot)  |  OUT: → CHARTS (historical trend charts)</t>
        </is>
      </c>
    </row>
    <row r="4" ht="36" customHeight="1">
      <c r="M4" s="6" t="inlineStr">
        <is>
          <t>HOW TO USE:</t>
        </is>
      </c>
      <c r="N4" s="7" t="inlineStr">
        <is>
          <t>Click TAKE DAILY SNAPSHOT on DASHBOARD at the end of each shift or day. Do not delete rows — this is the audit trail. Filter by BusinessDate or ShiftName to analyse specific periods.</t>
        </is>
      </c>
    </row>
    <row r="5" ht="16" customHeight="1">
      <c r="M5" s="16" t="inlineStr">
        <is>
          <t>&lt;&lt; Back to DASHBOARD</t>
        </is>
      </c>
    </row>
  </sheetData>
  <mergeCells count="5">
    <mergeCell ref="M5:P5"/>
    <mergeCell ref="N2:P2"/>
    <mergeCell ref="M1:P1"/>
    <mergeCell ref="N4:P4"/>
    <mergeCell ref="N3:P3"/>
  </mergeCells>
  <hyperlinks>
    <hyperlink xmlns:r="http://schemas.openxmlformats.org/officeDocument/2006/relationships" ref="M5" r:id="rId1"/>
  </hyperlinks>
  <pageMargins left="0.75" right="0.75" top="1" bottom="1" header="0.5" footer="0.5"/>
  <tableParts count="1">
    <tablePart xmlns:r="http://schemas.openxmlformats.org/officeDocument/2006/relationships" r:id="rId2"/>
  </tableParts>
</worksheet>
</file>

<file path=xl/worksheets/sheet16.xml><?xml version="1.0" encoding="utf-8"?>
<worksheet xmlns="http://schemas.openxmlformats.org/spreadsheetml/2006/main">
  <sheetPr>
    <tabColor rgb="00FFC000"/>
    <outlinePr summaryBelow="1" summaryRight="1"/>
    <pageSetUpPr/>
  </sheetPr>
  <dimension ref="A1:I12"/>
  <sheetViews>
    <sheetView workbookViewId="0">
      <selection activeCell="A1" sqref="A1"/>
    </sheetView>
  </sheetViews>
  <sheetFormatPr baseColWidth="8" defaultRowHeight="15"/>
  <cols>
    <col width="40" customWidth="1" min="1" max="1"/>
    <col width="40" customWidth="1" min="2" max="2"/>
    <col width="40" customWidth="1" min="3" max="3"/>
    <col width="27" customWidth="1" min="4" max="4"/>
    <col width="12" customWidth="1" min="6" max="6"/>
    <col width="22" customWidth="1" min="7" max="7"/>
    <col width="22" customWidth="1" min="8" max="8"/>
    <col width="22" customWidth="1" min="9" max="9"/>
  </cols>
  <sheetData>
    <row r="1" ht="18" customHeight="1">
      <c r="A1" s="125" t="inlineStr">
        <is>
          <t>DATA QUALITY CHECKS</t>
        </is>
      </c>
      <c r="F1" s="2" t="inlineStr">
        <is>
          <t>[i] SHEET GUIDE — DATA_QUALITY</t>
        </is>
      </c>
    </row>
    <row r="2" ht="36" customHeight="1">
      <c r="F2" s="6" t="inlineStr">
        <is>
          <t>PURPOSE:</t>
        </is>
      </c>
      <c r="G2" s="7" t="inlineStr">
        <is>
          <t>Automated validation checks across all input sheets. Each row runs a live formula and shows OK (green) or WARNING (amber). Review this sheet after each data paste to catch issues early.</t>
        </is>
      </c>
    </row>
    <row r="3" ht="36" customHeight="1">
      <c r="A3" s="119" t="inlineStr">
        <is>
          <t>Check</t>
        </is>
      </c>
      <c r="B3" s="119" t="inlineStr">
        <is>
          <t>Formula / Logic</t>
        </is>
      </c>
      <c r="C3" s="119" t="inlineStr">
        <is>
          <t>Result</t>
        </is>
      </c>
      <c r="D3" s="119" t="inlineStr">
        <is>
          <t>Status</t>
        </is>
      </c>
      <c r="F3" s="6" t="inlineStr">
        <is>
          <t>DATA FLOW:</t>
        </is>
      </c>
      <c r="G3" s="7" t="inlineStr">
        <is>
          <t>IN: live formulas read from tblHRP, tblPacked, tblShipped, tblStaffing  |  OUT: read-only validation — no other sheet reads from DATA_QUALITY</t>
        </is>
      </c>
    </row>
    <row r="4" ht="36" customHeight="1">
      <c r="A4" s="126" t="inlineStr">
        <is>
          <t>Missing CartonID in HRP</t>
        </is>
      </c>
      <c r="B4" s="126" t="inlineStr">
        <is>
          <t>'=COUNTIFS(tblHRP[CartonID],"")</t>
        </is>
      </c>
      <c r="C4" s="126">
        <f>COUNTIFS(tblHRP[CartonID],"")</f>
        <v/>
      </c>
      <c r="D4" s="126">
        <f>IF(C4=0,"OK","WARNING")</f>
        <v/>
      </c>
      <c r="F4" s="6" t="inlineStr">
        <is>
          <t>HOW TO USE:</t>
        </is>
      </c>
      <c r="G4" s="7" t="inlineStr">
        <is>
          <t>Review daily after updating input sheets. Any WARNING (amber) indicates a data issue in the referenced input sheet. Fix the issue in the source sheet, then recalculate (F9 or REFRESH ALL) to confirm it clears.</t>
        </is>
      </c>
    </row>
    <row r="5" ht="16" customHeight="1">
      <c r="A5" s="126" t="inlineStr">
        <is>
          <t>Future dates in IN_PACKED (LAST_PACKED)</t>
        </is>
      </c>
      <c r="B5" s="126" t="inlineStr">
        <is>
          <t>'=COUNTIF(tblPacked[LAST_PACKED],"&gt;"&amp;TODAY())</t>
        </is>
      </c>
      <c r="C5" s="126">
        <f>COUNTIF(tblPacked[LAST_PACKED],"&gt;"&amp;TODAY())</f>
        <v/>
      </c>
      <c r="D5" s="126">
        <f>IF(C5=0,"OK","WARNING")</f>
        <v/>
      </c>
      <c r="F5" s="16" t="inlineStr">
        <is>
          <t>&lt;&lt; Back to DASHBOARD</t>
        </is>
      </c>
    </row>
    <row r="6">
      <c r="A6" s="126" t="inlineStr">
        <is>
          <t>Future dates in IN_SHIPPED_LPNS (BusinessDate)</t>
        </is>
      </c>
      <c r="B6" s="126" t="inlineStr">
        <is>
          <t>'=COUNTIF(tblShipped[BusinessDate],"&gt;"&amp;TODAY())</t>
        </is>
      </c>
      <c r="C6" s="126">
        <f>COUNTIF(tblShipped[BusinessDate],"&gt;"&amp;TODAY())</f>
        <v/>
      </c>
      <c r="D6" s="126">
        <f>IF(C6=0,"OK","WARNING")</f>
        <v/>
      </c>
    </row>
    <row r="7">
      <c r="A7" s="126" t="inlineStr">
        <is>
          <t>Duplicate LPNs in Shipped list</t>
        </is>
      </c>
      <c r="B7" s="126" t="inlineStr">
        <is>
          <t>'=COUNTIF(tblShipped[DupFlag],TRUE)</t>
        </is>
      </c>
      <c r="C7" s="126">
        <f>COUNTIF(tblShipped[DupFlag],TRUE)</f>
        <v/>
      </c>
      <c r="D7" s="126">
        <f>IF(C7=0,"OK","WARNING")</f>
        <v/>
      </c>
    </row>
    <row r="8">
      <c r="A8" s="126" t="inlineStr">
        <is>
          <t>StaffAvailable = 0 rows in Staffing</t>
        </is>
      </c>
      <c r="B8" s="126" t="inlineStr">
        <is>
          <t>'=COUNTIF(tblStaffing[StaffAvailable],0)</t>
        </is>
      </c>
      <c r="C8" s="126">
        <f>COUNTIF(tblStaffing[StaffAvailable],0)</f>
        <v/>
      </c>
      <c r="D8" s="126">
        <f>IF(C8=0,"OK","WARNING")</f>
        <v/>
      </c>
    </row>
    <row r="9">
      <c r="A9" s="126" t="inlineStr">
        <is>
          <t>Invalid ShiftName in Shipped (not Day/Night)</t>
        </is>
      </c>
      <c r="B9" s="126" t="inlineStr">
        <is>
          <t>'=SUMPRODUCT((tblShipped[ShiftName]&lt;&gt;"Day")*(tblShipped[ShiftName]&lt;&gt;"Night")*(tblShipped[ShiftName]&lt;&gt;""))</t>
        </is>
      </c>
      <c r="C9" s="126">
        <f>SUMPRODUCT((tblShipped[ShiftName]&lt;&gt;"Day")*(tblShipped[ShiftName]&lt;&gt;"Night")*(tblShipped[ShiftName]&lt;&gt;""))</f>
        <v/>
      </c>
      <c r="D9" s="126">
        <f>IF(C9=0,"OK","WARNING")</f>
        <v/>
      </c>
    </row>
    <row r="10">
      <c r="A10" s="126" t="inlineStr">
        <is>
          <t>Invalid ShiftName in Staffing</t>
        </is>
      </c>
      <c r="B10" s="126" t="inlineStr">
        <is>
          <t>'=SUMPRODUCT((tblStaffing[ShiftName]&lt;&gt;"Day")*(tblStaffing[ShiftName]&lt;&gt;"Night")*(tblStaffing[ShiftName]&lt;&gt;""))</t>
        </is>
      </c>
      <c r="C10" s="126">
        <f>SUMPRODUCT((tblStaffing[ShiftName]&lt;&gt;"Day")*(tblStaffing[ShiftName]&lt;&gt;"Night")*(tblStaffing[ShiftName]&lt;&gt;""))</f>
        <v/>
      </c>
      <c r="D10" s="126">
        <f>IF(C10=0,"OK","WARNING")</f>
        <v/>
      </c>
    </row>
    <row r="11">
      <c r="A11" s="126" t="inlineStr">
        <is>
          <t>HRP rows with IncludeInHRP=TRUE (open action items)</t>
        </is>
      </c>
      <c r="B11" s="126" t="inlineStr">
        <is>
          <t>'=COUNTIF(tblHRP[IncludeInHRP],TRUE)</t>
        </is>
      </c>
      <c r="C11" s="126">
        <f>COUNTIF(tblHRP[IncludeInHRP],TRUE)</f>
        <v/>
      </c>
      <c r="D11" s="126">
        <f>IF(C11=0,"OK","WARNING")</f>
        <v/>
      </c>
    </row>
    <row r="12">
      <c r="A12" s="126" t="inlineStr">
        <is>
          <t>Packed items where ActionFlag=TRUE (overdue)</t>
        </is>
      </c>
      <c r="B12" s="126" t="inlineStr">
        <is>
          <t>'=COUNTIF(tblPacked[ActionFlag],TRUE)</t>
        </is>
      </c>
      <c r="C12" s="126">
        <f>COUNTIF(tblPacked[ActionFlag],TRUE)</f>
        <v/>
      </c>
      <c r="D12" s="126">
        <f>IF(C12=0,"OK","WARNING")</f>
        <v/>
      </c>
    </row>
  </sheetData>
  <mergeCells count="5">
    <mergeCell ref="G2:I2"/>
    <mergeCell ref="F1:I1"/>
    <mergeCell ref="G4:I4"/>
    <mergeCell ref="G3:I3"/>
    <mergeCell ref="F5:I5"/>
  </mergeCells>
  <conditionalFormatting sqref="D4">
    <cfRule type="containsText" priority="1" operator="containsText" dxfId="7" text="WARNING"/>
    <cfRule type="containsText" priority="2" operator="containsText" dxfId="4" text="OK"/>
  </conditionalFormatting>
  <conditionalFormatting sqref="D5">
    <cfRule type="containsText" priority="3" operator="containsText" dxfId="7" text="WARNING"/>
    <cfRule type="containsText" priority="4" operator="containsText" dxfId="4" text="OK"/>
  </conditionalFormatting>
  <conditionalFormatting sqref="D6">
    <cfRule type="containsText" priority="5" operator="containsText" dxfId="7" text="WARNING"/>
    <cfRule type="containsText" priority="6" operator="containsText" dxfId="4" text="OK"/>
  </conditionalFormatting>
  <conditionalFormatting sqref="D7">
    <cfRule type="containsText" priority="7" operator="containsText" dxfId="7" text="WARNING"/>
    <cfRule type="containsText" priority="8" operator="containsText" dxfId="4" text="OK"/>
  </conditionalFormatting>
  <conditionalFormatting sqref="D8">
    <cfRule type="containsText" priority="9" operator="containsText" dxfId="7" text="WARNING"/>
    <cfRule type="containsText" priority="10" operator="containsText" dxfId="4" text="OK"/>
  </conditionalFormatting>
  <conditionalFormatting sqref="D9">
    <cfRule type="containsText" priority="11" operator="containsText" dxfId="7" text="WARNING"/>
    <cfRule type="containsText" priority="12" operator="containsText" dxfId="4" text="OK"/>
  </conditionalFormatting>
  <conditionalFormatting sqref="D10">
    <cfRule type="containsText" priority="13" operator="containsText" dxfId="7" text="WARNING"/>
    <cfRule type="containsText" priority="14" operator="containsText" dxfId="4" text="OK"/>
  </conditionalFormatting>
  <conditionalFormatting sqref="D11">
    <cfRule type="containsText" priority="15" operator="containsText" dxfId="7" text="WARNING"/>
    <cfRule type="containsText" priority="16" operator="containsText" dxfId="4" text="OK"/>
  </conditionalFormatting>
  <conditionalFormatting sqref="D12">
    <cfRule type="containsText" priority="17" operator="containsText" dxfId="7" text="WARNING"/>
    <cfRule type="containsText" priority="18" operator="containsText" dxfId="4" text="OK"/>
  </conditionalFormatting>
  <hyperlinks>
    <hyperlink xmlns:r="http://schemas.openxmlformats.org/officeDocument/2006/relationships" ref="F5" r:id="rId1"/>
  </hyperlink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2026-04-29T12:05:00Z</dcterms:created>
  <dcterms:modified xsi:type="dcterms:W3CDTF">2026-04-29T12:05:00Z</dcterms:modified>
</cp:coreProperties>
</file>