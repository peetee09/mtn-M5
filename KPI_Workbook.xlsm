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worksheets/sheet10.xml" ContentType="application/vnd.openxmlformats-officedocument.spreadsheetml.worksheet+xml"/>
  <Override PartName="/xl/tables/table9.xml" ContentType="application/vnd.openxmlformats-officedocument.spreadsheetml.table+xml"/>
  <Override PartName="/xl/worksheets/sheet11.xml" ContentType="application/vnd.openxmlformats-officedocument.spreadsheetml.worksheet+xml"/>
  <Override PartName="/xl/tables/table10.xml" ContentType="application/vnd.openxmlformats-officedocument.spreadsheetml.table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ables/table12.xml" ContentType="application/vnd.openxmlformats-officedocument.spreadsheetml.table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DAILY_ENTRY" sheetId="2" state="visible" r:id="rId2"/>
    <sheet name="CHARTS" sheetId="3" state="visible" r:id="rId3"/>
    <sheet name="CONFIG" sheetId="4" state="visible" r:id="rId4"/>
    <sheet name="IN_PACKED" sheetId="5" state="visible" r:id="rId5"/>
    <sheet name="IN_HRP" sheetId="6" state="visible" r:id="rId6"/>
    <sheet name="IN_SHIPPED_LPNS" sheetId="7" state="visible" r:id="rId7"/>
    <sheet name="IN_STAFFING" sheetId="8" state="visible" r:id="rId8"/>
    <sheet name="IN_TARGETS_DAILY" sheetId="9" state="visible" r:id="rId9"/>
    <sheet name="IN_AUDIT_LOG" sheetId="10" state="visible" r:id="rId10"/>
    <sheet name="T_DISPATCH_KPI" sheetId="11" state="visible" r:id="rId11"/>
    <sheet name="T_DISPATCH_DAILY" sheetId="12" state="visible" r:id="rId12"/>
    <sheet name="ACTION_HRP" sheetId="13" state="visible" r:id="rId13"/>
    <sheet name="ACTION_PACKED" sheetId="14" state="visible" r:id="rId14"/>
    <sheet name="HISTORY" sheetId="15" state="visible" r:id="rId15"/>
    <sheet name="DATA_QUALITY" sheetId="16" state="visible" r:id="rId16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 h:mm:ss"/>
    <numFmt numFmtId="165" formatCode="yyyy-mm-dd"/>
    <numFmt numFmtId="166" formatCode="0.0%"/>
    <numFmt numFmtId="167" formatCode="dd/mm/yyyy"/>
  </numFmts>
  <fonts count="42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FFFFFF"/>
      <sz val="16"/>
    </font>
    <font>
      <i val="1"/>
      <color rgb="00FFA500"/>
      <sz val="9"/>
    </font>
    <font>
      <b val="1"/>
      <sz val="11"/>
    </font>
    <font>
      <b val="1"/>
      <color rgb="00191970"/>
      <sz val="13"/>
    </font>
    <font>
      <i val="1"/>
      <color rgb="00808080"/>
      <sz val="8"/>
    </font>
    <font>
      <b val="1"/>
      <color rgb="00FFFFFF"/>
      <sz val="11"/>
    </font>
    <font>
      <b val="1"/>
      <color rgb="00FFFFFF"/>
      <sz val="10"/>
    </font>
    <font>
      <b val="1"/>
      <sz val="12"/>
    </font>
    <font>
      <color rgb="00191970"/>
      <sz val="12"/>
    </font>
    <font>
      <b val="1"/>
      <color rgb="00191970"/>
      <sz val="10"/>
    </font>
    <font>
      <i val="1"/>
      <color rgb="00666666"/>
      <sz val="8"/>
    </font>
    <font>
      <b val="1"/>
      <color rgb="FF004646"/>
      <sz val="9"/>
      <u val="single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  <font>
      <b val="1"/>
      <color rgb="004682B4"/>
      <sz val="24"/>
    </font>
    <font>
      <b val="1"/>
      <color rgb="00703090"/>
      <sz val="24"/>
    </font>
  </fonts>
  <fills count="21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FFF4CC"/>
      </patternFill>
    </fill>
    <fill>
      <patternFill patternType="solid">
        <fgColor rgb="FFFFFFFF"/>
      </patternFill>
    </fill>
    <fill>
      <patternFill patternType="solid">
        <fgColor rgb="FF2E4057"/>
      </patternFill>
    </fill>
    <fill>
      <patternFill patternType="solid">
        <fgColor rgb="FF0070C0"/>
      </patternFill>
    </fill>
    <fill>
      <patternFill patternType="solid">
        <fgColor rgb="FFF7F7F7"/>
      </patternFill>
    </fill>
    <fill>
      <patternFill patternType="solid">
        <fgColor rgb="FFC8E6C9"/>
      </patternFill>
    </fill>
    <fill>
      <patternFill patternType="solid">
        <fgColor rgb="FFFFEBEE"/>
      </patternFill>
    </fill>
    <fill>
      <patternFill patternType="solid">
        <fgColor rgb="FFECF0F7"/>
      </patternFill>
    </fill>
    <fill>
      <patternFill patternType="solid">
        <fgColor rgb="FFFF000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4682B4"/>
      </patternFill>
    </fill>
    <fill>
      <patternFill patternType="solid">
        <fgColor rgb="FF703090"/>
      </patternFill>
    </fill>
  </fills>
  <borders count="60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0070C0"/>
      </left>
      <right style="thin">
        <color rgb="000070C0"/>
      </right>
      <top style="thin">
        <color rgb="000070C0"/>
      </top>
      <bottom style="thin">
        <color rgb="000070C0"/>
      </bottom>
    </border>
    <border>
      <left style="thin">
        <color rgb="00C00000"/>
      </left>
      <right style="thin">
        <color rgb="00C00000"/>
      </right>
      <top style="thin">
        <color rgb="00C00000"/>
      </top>
      <bottom style="thin">
        <color rgb="00C00000"/>
      </bottom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  <border>
      <left style="thin">
        <color rgb="004682B4"/>
      </left>
      <top style="thin">
        <color rgb="004682B4"/>
      </top>
    </border>
    <border>
      <top style="thin">
        <color rgb="004682B4"/>
      </top>
    </border>
    <border>
      <right style="thin">
        <color rgb="004682B4"/>
      </right>
      <top style="thin">
        <color rgb="004682B4"/>
      </top>
    </border>
    <border>
      <left style="thin">
        <color rgb="004682B4"/>
      </left>
    </border>
    <border>
      <right style="thin">
        <color rgb="004682B4"/>
      </right>
    </border>
    <border>
      <left style="thin">
        <color rgb="004682B4"/>
      </left>
      <bottom style="thin">
        <color rgb="004682B4"/>
      </bottom>
    </border>
    <border>
      <bottom style="thin">
        <color rgb="004682B4"/>
      </bottom>
    </border>
    <border>
      <right style="thin">
        <color rgb="004682B4"/>
      </right>
      <bottom style="thin">
        <color rgb="004682B4"/>
      </bottom>
    </border>
    <border>
      <left style="thin">
        <color rgb="00703090"/>
      </left>
      <top style="thin">
        <color rgb="00703090"/>
      </top>
    </border>
    <border>
      <top style="thin">
        <color rgb="00703090"/>
      </top>
    </border>
    <border>
      <right style="thin">
        <color rgb="00703090"/>
      </right>
      <top style="thin">
        <color rgb="00703090"/>
      </top>
    </border>
    <border>
      <left style="thin">
        <color rgb="00703090"/>
      </left>
    </border>
    <border>
      <right style="thin">
        <color rgb="00703090"/>
      </right>
    </border>
    <border>
      <left style="thin">
        <color rgb="00703090"/>
      </left>
      <bottom style="thin">
        <color rgb="00703090"/>
      </bottom>
    </border>
    <border>
      <bottom style="thin">
        <color rgb="00703090"/>
      </bottom>
    </border>
    <border>
      <right style="thin">
        <color rgb="00703090"/>
      </right>
      <bottom style="thin">
        <color rgb="00703090"/>
      </bottom>
    </border>
  </borders>
  <cellStyleXfs count="1">
    <xf numFmtId="0" fontId="0" fillId="0" borderId="0"/>
  </cellStyleXfs>
  <cellXfs count="123">
    <xf numFmtId="0" fontId="0" fillId="0" borderId="0" pivotButton="0" quotePrefix="0" xfId="0"/>
    <xf numFmtId="0" fontId="20" fillId="2" borderId="0" applyAlignment="1" pivotButton="0" quotePrefix="0" xfId="0">
      <alignment horizontal="center" vertical="center"/>
    </xf>
    <xf numFmtId="0" fontId="21" fillId="12" borderId="0" applyAlignment="1" pivotButton="0" quotePrefix="0" xfId="0">
      <alignment horizontal="right" vertical="center"/>
    </xf>
    <xf numFmtId="0" fontId="22" fillId="12" borderId="0" applyAlignment="1" pivotButton="0" quotePrefix="0" xfId="0">
      <alignment horizontal="left" vertical="center"/>
    </xf>
    <xf numFmtId="0" fontId="23" fillId="12" borderId="0" applyAlignment="1" pivotButton="0" quotePrefix="0" xfId="0">
      <alignment horizontal="right" vertical="center"/>
    </xf>
    <xf numFmtId="0" fontId="19" fillId="4" borderId="0" pivotButton="0" quotePrefix="0" xfId="0"/>
    <xf numFmtId="0" fontId="11" fillId="7" borderId="0" applyAlignment="1" pivotButton="0" quotePrefix="0" xfId="0">
      <alignment horizontal="left" vertical="center"/>
    </xf>
    <xf numFmtId="0" fontId="24" fillId="13" borderId="4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24" fillId="8" borderId="12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14" pivotButton="0" quotePrefix="0" xfId="0"/>
    <xf numFmtId="0" fontId="25" fillId="6" borderId="7" applyAlignment="1" pivotButton="0" quotePrefix="0" xfId="0">
      <alignment horizontal="center" vertical="center"/>
    </xf>
    <xf numFmtId="0" fontId="0" fillId="0" borderId="8" pivotButton="0" quotePrefix="0" xfId="0"/>
    <xf numFmtId="0" fontId="26" fillId="6" borderId="15" applyAlignment="1" pivotButton="0" quotePrefix="0" xfId="0">
      <alignment horizontal="center" vertical="center"/>
    </xf>
    <xf numFmtId="0" fontId="0" fillId="0" borderId="16" pivotButton="0" quotePrefix="0" xfId="0"/>
    <xf numFmtId="0" fontId="0" fillId="0" borderId="7" pivotButton="0" quotePrefix="0" xfId="0"/>
    <xf numFmtId="0" fontId="0" fillId="0" borderId="15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18" pivotButton="0" quotePrefix="0" xfId="0"/>
    <xf numFmtId="0" fontId="0" fillId="0" borderId="19" pivotButton="0" quotePrefix="0" xfId="0"/>
    <xf numFmtId="0" fontId="24" fillId="14" borderId="20" applyAlignment="1" pivotButton="0" quotePrefix="0" xfId="0">
      <alignment horizontal="center" vertical="center"/>
    </xf>
    <xf numFmtId="0" fontId="0" fillId="0" borderId="21" pivotButton="0" quotePrefix="0" xfId="0"/>
    <xf numFmtId="0" fontId="0" fillId="0" borderId="22" pivotButton="0" quotePrefix="0" xfId="0"/>
    <xf numFmtId="0" fontId="24" fillId="15" borderId="28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0" fontId="27" fillId="6" borderId="23" applyAlignment="1" pivotButton="0" quotePrefix="0" xfId="0">
      <alignment horizontal="center" vertical="center"/>
    </xf>
    <xf numFmtId="0" fontId="0" fillId="0" borderId="24" pivotButton="0" quotePrefix="0" xfId="0"/>
    <xf numFmtId="0" fontId="28" fillId="6" borderId="31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3" pivotButton="0" quotePrefix="0" xfId="0"/>
    <xf numFmtId="0" fontId="0" fillId="0" borderId="31" pivotButton="0" quotePrefix="0" xfId="0"/>
    <xf numFmtId="0" fontId="0" fillId="0" borderId="25" pivotButton="0" quotePrefix="0" xfId="0"/>
    <xf numFmtId="0" fontId="0" fillId="0" borderId="26" pivotButton="0" quotePrefix="0" xfId="0"/>
    <xf numFmtId="0" fontId="0" fillId="0" borderId="27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24" fillId="8" borderId="1" applyAlignment="1" pivotButton="0" quotePrefix="0" xfId="0">
      <alignment horizontal="center" vertical="center"/>
    </xf>
    <xf numFmtId="0" fontId="29" fillId="6" borderId="1" applyAlignment="1" pivotButton="0" quotePrefix="0" xfId="0">
      <alignment horizontal="center" vertical="center"/>
    </xf>
    <xf numFmtId="0" fontId="29" fillId="9" borderId="1" applyAlignment="1" pivotButton="0" quotePrefix="0" xfId="0">
      <alignment horizontal="center" vertical="center"/>
    </xf>
    <xf numFmtId="0" fontId="11" fillId="16" borderId="0" applyAlignment="1" pivotButton="0" quotePrefix="0" xfId="0">
      <alignment horizontal="left" vertical="center"/>
    </xf>
    <xf numFmtId="0" fontId="24" fillId="16" borderId="36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30" fillId="6" borderId="39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39" pivotButton="0" quotePrefix="0" xfId="0"/>
    <xf numFmtId="0" fontId="0" fillId="0" borderId="41" pivotButton="0" quotePrefix="0" xfId="0"/>
    <xf numFmtId="0" fontId="0" fillId="0" borderId="42" pivotButton="0" quotePrefix="0" xfId="0"/>
    <xf numFmtId="0" fontId="0" fillId="0" borderId="43" pivotButton="0" quotePrefix="0" xfId="0"/>
    <xf numFmtId="0" fontId="11" fillId="17" borderId="0" applyAlignment="1" pivotButton="0" quotePrefix="0" xfId="0">
      <alignment horizontal="left" vertical="center"/>
    </xf>
    <xf numFmtId="0" fontId="24" fillId="15" borderId="1" applyAlignment="1" pivotButton="0" quotePrefix="0" xfId="0">
      <alignment horizontal="center" vertical="center"/>
    </xf>
    <xf numFmtId="0" fontId="24" fillId="14" borderId="1" applyAlignment="1" pivotButton="0" quotePrefix="0" xfId="0">
      <alignment horizontal="center" vertical="center"/>
    </xf>
    <xf numFmtId="0" fontId="24" fillId="13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/>
    </xf>
    <xf numFmtId="0" fontId="11" fillId="18" borderId="0" applyAlignment="1" pivotButton="0" quotePrefix="0" xfId="0">
      <alignment horizontal="left" vertical="center"/>
    </xf>
    <xf numFmtId="0" fontId="31" fillId="6" borderId="1" applyAlignment="1" pivotButton="0" quotePrefix="0" xfId="0">
      <alignment horizontal="center" vertical="center"/>
    </xf>
    <xf numFmtId="0" fontId="32" fillId="6" borderId="1" applyAlignment="1" pivotButton="0" quotePrefix="0" xfId="0">
      <alignment horizontal="center" vertical="center"/>
    </xf>
    <xf numFmtId="0" fontId="33" fillId="6" borderId="1" applyAlignment="1" pivotButton="0" quotePrefix="0" xfId="0">
      <alignment horizontal="center" vertical="center"/>
    </xf>
    <xf numFmtId="0" fontId="34" fillId="6" borderId="1" applyAlignment="1" pivotButton="0" quotePrefix="0" xfId="0">
      <alignment horizontal="center" vertical="center"/>
    </xf>
    <xf numFmtId="0" fontId="35" fillId="6" borderId="1" applyAlignment="1" pivotButton="0" quotePrefix="0" xfId="0">
      <alignment horizontal="center" vertical="center"/>
    </xf>
    <xf numFmtId="0" fontId="36" fillId="6" borderId="1" applyAlignment="1" pivotButton="0" quotePrefix="0" xfId="0">
      <alignment horizontal="center" vertical="center"/>
    </xf>
    <xf numFmtId="0" fontId="37" fillId="6" borderId="1" applyAlignment="1" pivotButton="0" quotePrefix="0" xfId="0">
      <alignment horizontal="center" vertical="center"/>
    </xf>
    <xf numFmtId="0" fontId="11" fillId="2" borderId="0" applyAlignment="1" pivotButton="0" quotePrefix="0" xfId="0">
      <alignment horizontal="left" vertical="center"/>
    </xf>
    <xf numFmtId="0" fontId="38" fillId="5" borderId="0" applyAlignment="1" pivotButton="0" quotePrefix="0" xfId="0">
      <alignment horizontal="left" vertical="center" wrapText="1"/>
    </xf>
    <xf numFmtId="0" fontId="39" fillId="5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 vertical="center" wrapText="1"/>
    </xf>
    <xf numFmtId="0" fontId="39" fillId="10" borderId="1" applyAlignment="1" pivotButton="0" quotePrefix="0" xfId="0">
      <alignment horizontal="center" vertical="center"/>
    </xf>
    <xf numFmtId="0" fontId="11" fillId="19" borderId="0" applyAlignment="1" pivotButton="0" quotePrefix="0" xfId="0">
      <alignment horizontal="left" vertical="center"/>
    </xf>
    <xf numFmtId="0" fontId="24" fillId="19" borderId="44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6" pivotButton="0" quotePrefix="0" xfId="0"/>
    <xf numFmtId="0" fontId="40" fillId="6" borderId="47" applyAlignment="1" pivotButton="0" quotePrefix="0" xfId="0">
      <alignment horizontal="center" vertical="center"/>
    </xf>
    <xf numFmtId="0" fontId="0" fillId="0" borderId="48" pivotButton="0" quotePrefix="0" xfId="0"/>
    <xf numFmtId="0" fontId="0" fillId="0" borderId="47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11" fillId="20" borderId="0" applyAlignment="1" pivotButton="0" quotePrefix="0" xfId="0">
      <alignment horizontal="left" vertical="center"/>
    </xf>
    <xf numFmtId="0" fontId="24" fillId="20" borderId="52" applyAlignment="1" pivotButton="0" quotePrefix="0" xfId="0">
      <alignment horizontal="center" vertical="center"/>
    </xf>
    <xf numFmtId="0" fontId="0" fillId="0" borderId="53" pivotButton="0" quotePrefix="0" xfId="0"/>
    <xf numFmtId="0" fontId="0" fillId="0" borderId="54" pivotButton="0" quotePrefix="0" xfId="0"/>
    <xf numFmtId="0" fontId="41" fillId="6" borderId="55" applyAlignment="1" pivotButton="0" quotePrefix="0" xfId="0">
      <alignment horizontal="center" vertical="center"/>
    </xf>
    <xf numFmtId="0" fontId="0" fillId="0" borderId="56" pivotButton="0" quotePrefix="0" xfId="0"/>
    <xf numFmtId="0" fontId="0" fillId="0" borderId="55" pivotButton="0" quotePrefix="0" xfId="0"/>
    <xf numFmtId="0" fontId="0" fillId="0" borderId="57" pivotButton="0" quotePrefix="0" xfId="0"/>
    <xf numFmtId="0" fontId="0" fillId="0" borderId="58" pivotButton="0" quotePrefix="0" xfId="0"/>
    <xf numFmtId="0" fontId="0" fillId="0" borderId="59" pivotButton="0" quotePrefix="0" xfId="0"/>
    <xf numFmtId="0" fontId="6" fillId="2" borderId="0" applyAlignment="1" pivotButton="0" quotePrefix="0" xfId="0">
      <alignment horizontal="center" vertical="center"/>
    </xf>
    <xf numFmtId="0" fontId="7" fillId="5" borderId="0" applyAlignment="1" pivotButton="0" quotePrefix="0" xfId="0">
      <alignment horizontal="center" vertical="center" wrapText="1"/>
    </xf>
    <xf numFmtId="0" fontId="0" fillId="4" borderId="0" pivotButton="0" quotePrefix="0" xfId="0"/>
    <xf numFmtId="0" fontId="8" fillId="4" borderId="0" applyAlignment="1" pivotButton="0" quotePrefix="0" xfId="0">
      <alignment horizontal="right" vertical="center"/>
    </xf>
    <xf numFmtId="167" fontId="9" fillId="6" borderId="2" applyAlignment="1" pivotButton="0" quotePrefix="0" xfId="0">
      <alignment horizontal="center" vertical="center"/>
    </xf>
    <xf numFmtId="0" fontId="10" fillId="4" borderId="0" applyAlignment="1" pivotButton="0" quotePrefix="0" xfId="0">
      <alignment vertical="center"/>
    </xf>
    <xf numFmtId="0" fontId="12" fillId="8" borderId="1" applyAlignment="1" pivotButton="0" quotePrefix="0" xfId="0">
      <alignment horizontal="center" vertical="center"/>
    </xf>
    <xf numFmtId="0" fontId="13" fillId="6" borderId="2" applyAlignment="1" pivotButton="0" quotePrefix="0" xfId="0">
      <alignment horizontal="center" vertical="center"/>
    </xf>
    <xf numFmtId="0" fontId="14" fillId="6" borderId="2" applyAlignment="1" pivotButton="0" quotePrefix="0" xfId="0">
      <alignment horizontal="center" vertical="center"/>
    </xf>
    <xf numFmtId="0" fontId="13" fillId="9" borderId="2" applyAlignment="1" pivotButton="0" quotePrefix="0" xfId="0">
      <alignment horizontal="center" vertical="center"/>
    </xf>
    <xf numFmtId="0" fontId="14" fillId="9" borderId="2" applyAlignment="1" pivotButton="0" quotePrefix="0" xfId="0">
      <alignment horizontal="center" vertical="center"/>
    </xf>
    <xf numFmtId="0" fontId="11" fillId="3" borderId="0" applyAlignment="1" pivotButton="0" quotePrefix="0" xfId="0">
      <alignment horizontal="left" vertical="center"/>
    </xf>
    <xf numFmtId="0" fontId="2" fillId="4" borderId="0" applyAlignment="1" pivotButton="0" quotePrefix="0" xfId="0">
      <alignment horizontal="right" vertical="center"/>
    </xf>
    <xf numFmtId="0" fontId="0" fillId="6" borderId="3" applyAlignment="1" pivotButton="0" quotePrefix="0" xfId="0">
      <alignment horizontal="center" vertical="center"/>
    </xf>
    <xf numFmtId="0" fontId="15" fillId="10" borderId="1" applyAlignment="1" pivotButton="0" quotePrefix="0" xfId="0">
      <alignment horizontal="center" vertical="center"/>
    </xf>
    <xf numFmtId="0" fontId="15" fillId="11" borderId="1" applyAlignment="1" pivotButton="0" quotePrefix="0" xfId="0">
      <alignment horizontal="center" vertical="center"/>
    </xf>
    <xf numFmtId="0" fontId="16" fillId="4" borderId="0" applyAlignment="1" pivotButton="0" quotePrefix="0" xfId="0">
      <alignment horizontal="center"/>
    </xf>
    <xf numFmtId="0" fontId="17" fillId="4" borderId="0" pivotButton="0" quotePrefix="0" xfId="0"/>
    <xf numFmtId="0" fontId="18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Relationship Type="http://schemas.openxmlformats.org/officeDocument/2006/relationships/hyperlink" Target="#DAILY_ENTRY!A1" TargetMode="External" Id="rId12" /></Relationships>
</file>

<file path=xl/worksheets/_rels/sheet2.xml.rels><Relationships xmlns="http://schemas.openxmlformats.org/package/2006/relationships"><Relationship Type="http://schemas.openxmlformats.org/officeDocument/2006/relationships/hyperlink" Target="#DASHBOARD!A1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1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67" t="inlineStr">
        <is>
          <t>&gt;&gt; DAILY_ENTRY</t>
        </is>
      </c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 ht="24" customHeight="1">
      <c r="A38" s="5" t="n"/>
      <c r="B38" s="73" t="inlineStr">
        <is>
          <t>[ FILL DATA ]</t>
        </is>
      </c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 ht="20" customHeight="1">
      <c r="A39" s="5" t="n"/>
      <c r="B39" s="72" t="inlineStr">
        <is>
          <t>Open the daily entry form to record shift data for a specific day — the dashboard calculates all KPIs for the day, week, and month.</t>
        </is>
      </c>
    </row>
    <row r="40" ht="8" customHeight="1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 ht="20" customHeight="1">
      <c r="A41" s="74" t="inlineStr">
        <is>
          <t xml:space="preserve">  WEEKLY SUMMARY  (Monday – today)</t>
        </is>
      </c>
    </row>
    <row r="42" ht="18" customHeight="1">
      <c r="A42" s="5" t="n"/>
      <c r="B42" s="75" t="inlineStr">
        <is>
          <t>CARTONS THIS WEEK</t>
        </is>
      </c>
      <c r="C42" s="76" t="n"/>
      <c r="D42" s="77" t="n"/>
      <c r="E42" s="5" t="n"/>
      <c r="F42" s="75" t="inlineStr">
        <is>
          <t>AVG PERF % (WEEK)</t>
        </is>
      </c>
      <c r="G42" s="76" t="n"/>
      <c r="H42" s="77" t="n"/>
      <c r="I42" s="5" t="n"/>
      <c r="J42" s="75" t="inlineStr">
        <is>
          <t>STAFF COUNT THIS WEEK</t>
        </is>
      </c>
      <c r="K42" s="76" t="n"/>
      <c r="L42" s="77" t="n"/>
      <c r="M42" s="5" t="n"/>
      <c r="N42" s="5" t="n"/>
    </row>
    <row r="43" ht="42" customHeight="1">
      <c r="A43" s="5" t="n"/>
      <c r="B43" s="78">
        <f>SUMIFS(tblDispatchDaily[TotalShipped],tblDispatchDaily[BusinessDate],"&gt;="&amp;(TODAY()-WEEKDAY(TODAY(),2)+1),tblDispatchDaily[BusinessDate],"&lt;="&amp;TODAY())</f>
        <v/>
      </c>
      <c r="D43" s="79" t="n"/>
      <c r="E43" s="5" t="n"/>
      <c r="F43" s="78">
        <f>IFERROR(TEXT(AVERAGEIFS(tblDispatchDaily[DailyPerformancePct],tblDispatchDaily[BusinessDate],"&gt;="&amp;(TODAY()-WEEKDAY(TODAY(),2)+1),tblDispatchDaily[BusinessDate],"&lt;="&amp;TODAY()),"0.0%"),"N/A")</f>
        <v/>
      </c>
      <c r="H43" s="79" t="n"/>
      <c r="I43" s="5" t="n"/>
      <c r="J43" s="78">
        <f>SUMIFS(tblDispatchDaily[TotalStaff],tblDispatchDaily[BusinessDate],"&gt;="&amp;(TODAY()-WEEKDAY(TODAY(),2)+1),tblDispatchDaily[BusinessDate],"&lt;="&amp;TODAY())</f>
        <v/>
      </c>
      <c r="L43" s="79" t="n"/>
      <c r="M43" s="5" t="n"/>
      <c r="N43" s="5" t="n"/>
    </row>
    <row r="44" ht="8" customHeight="1">
      <c r="A44" s="5" t="n"/>
      <c r="B44" s="80" t="n"/>
      <c r="D44" s="79" t="n"/>
      <c r="E44" s="5" t="n"/>
      <c r="F44" s="80" t="n"/>
      <c r="H44" s="79" t="n"/>
      <c r="I44" s="5" t="n"/>
      <c r="J44" s="80" t="n"/>
      <c r="L44" s="79" t="n"/>
      <c r="M44" s="5" t="n"/>
      <c r="N44" s="5" t="n"/>
    </row>
    <row r="45" ht="8" customHeight="1">
      <c r="A45" s="5" t="n"/>
      <c r="B45" s="81" t="n"/>
      <c r="C45" s="82" t="n"/>
      <c r="D45" s="83" t="n"/>
      <c r="E45" s="5" t="n"/>
      <c r="F45" s="81" t="n"/>
      <c r="G45" s="82" t="n"/>
      <c r="H45" s="83" t="n"/>
      <c r="I45" s="5" t="n"/>
      <c r="J45" s="81" t="n"/>
      <c r="K45" s="82" t="n"/>
      <c r="L45" s="83" t="n"/>
      <c r="M45" s="5" t="n"/>
      <c r="N45" s="5" t="n"/>
    </row>
    <row r="46" ht="8" customHeight="1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 ht="20" customHeight="1">
      <c r="A47" s="84" t="inlineStr">
        <is>
          <t xml:space="preserve">  MONTHLY SUMMARY  (1st of month – today)</t>
        </is>
      </c>
    </row>
    <row r="48" ht="18" customHeight="1">
      <c r="A48" s="5" t="n"/>
      <c r="B48" s="85" t="inlineStr">
        <is>
          <t>CARTONS THIS MONTH</t>
        </is>
      </c>
      <c r="C48" s="86" t="n"/>
      <c r="D48" s="87" t="n"/>
      <c r="E48" s="5" t="n"/>
      <c r="F48" s="85" t="inlineStr">
        <is>
          <t>AVG PERF % (MONTH)</t>
        </is>
      </c>
      <c r="G48" s="86" t="n"/>
      <c r="H48" s="87" t="n"/>
      <c r="I48" s="5" t="n"/>
      <c r="J48" s="85" t="inlineStr">
        <is>
          <t>STAFF COUNT THIS MONTH</t>
        </is>
      </c>
      <c r="K48" s="86" t="n"/>
      <c r="L48" s="87" t="n"/>
      <c r="M48" s="5" t="n"/>
      <c r="N48" s="5" t="n"/>
    </row>
    <row r="49" ht="42" customHeight="1">
      <c r="A49" s="5" t="n"/>
      <c r="B49" s="88">
        <f>SUMIFS(tblDispatchDaily[TotalShipped],tblDispatchDaily[BusinessDate],"&gt;="&amp;DATE(YEAR(TODAY()),MONTH(TODAY()),1),tblDispatchDaily[BusinessDate],"&lt;="&amp;TODAY())</f>
        <v/>
      </c>
      <c r="D49" s="89" t="n"/>
      <c r="E49" s="5" t="n"/>
      <c r="F49" s="88">
        <f>IFERROR(TEXT(AVERAGEIFS(tblDispatchDaily[DailyPerformancePct],tblDispatchDaily[BusinessDate],"&gt;="&amp;DATE(YEAR(TODAY()),MONTH(TODAY()),1),tblDispatchDaily[BusinessDate],"&lt;="&amp;TODAY()),"0.0%"),"N/A")</f>
        <v/>
      </c>
      <c r="H49" s="89" t="n"/>
      <c r="I49" s="5" t="n"/>
      <c r="J49" s="88">
        <f>SUMIFS(tblDispatchDaily[TotalStaff],tblDispatchDaily[BusinessDate],"&gt;="&amp;DATE(YEAR(TODAY()),MONTH(TODAY()),1),tblDispatchDaily[BusinessDate],"&lt;="&amp;TODAY())</f>
        <v/>
      </c>
      <c r="L49" s="89" t="n"/>
      <c r="M49" s="5" t="n"/>
      <c r="N49" s="5" t="n"/>
    </row>
    <row r="50" ht="8" customHeight="1">
      <c r="A50" s="5" t="n"/>
      <c r="B50" s="90" t="n"/>
      <c r="D50" s="89" t="n"/>
      <c r="E50" s="5" t="n"/>
      <c r="F50" s="90" t="n"/>
      <c r="H50" s="89" t="n"/>
      <c r="I50" s="5" t="n"/>
      <c r="J50" s="90" t="n"/>
      <c r="L50" s="89" t="n"/>
      <c r="M50" s="5" t="n"/>
      <c r="N50" s="5" t="n"/>
    </row>
    <row r="51" ht="8" customHeight="1">
      <c r="B51" s="91" t="n"/>
      <c r="C51" s="92" t="n"/>
      <c r="D51" s="93" t="n"/>
      <c r="F51" s="91" t="n"/>
      <c r="G51" s="92" t="n"/>
      <c r="H51" s="93" t="n"/>
      <c r="J51" s="91" t="n"/>
      <c r="K51" s="92" t="n"/>
      <c r="L51" s="93" t="n"/>
    </row>
    <row r="52" ht="8" customHeight="1"/>
  </sheetData>
  <mergeCells count="69">
    <mergeCell ref="B42:D42"/>
    <mergeCell ref="F5:H5"/>
    <mergeCell ref="A34:N34"/>
    <mergeCell ref="J6:L8"/>
    <mergeCell ref="F36:H36"/>
    <mergeCell ref="F42:H42"/>
    <mergeCell ref="J36:L36"/>
    <mergeCell ref="A30:N30"/>
    <mergeCell ref="J49:L51"/>
    <mergeCell ref="J27:L27"/>
    <mergeCell ref="B10:D12"/>
    <mergeCell ref="B31:C31"/>
    <mergeCell ref="H31:I31"/>
    <mergeCell ref="D31:E31"/>
    <mergeCell ref="B38:D38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B49:D51"/>
    <mergeCell ref="D32:E32"/>
    <mergeCell ref="A41:N41"/>
    <mergeCell ref="F9:H9"/>
    <mergeCell ref="F32:G32"/>
    <mergeCell ref="F43:H45"/>
    <mergeCell ref="F48:H48"/>
    <mergeCell ref="F37:H37"/>
    <mergeCell ref="J21:L21"/>
    <mergeCell ref="B5:D5"/>
    <mergeCell ref="B36:D36"/>
    <mergeCell ref="J42:L42"/>
    <mergeCell ref="J22:L24"/>
    <mergeCell ref="H32:I32"/>
    <mergeCell ref="A26:N26"/>
    <mergeCell ref="F49:H51"/>
    <mergeCell ref="J32:K32"/>
    <mergeCell ref="F31:G31"/>
    <mergeCell ref="J43:L45"/>
    <mergeCell ref="F10:H12"/>
    <mergeCell ref="J31:K31"/>
    <mergeCell ref="B39:N39"/>
    <mergeCell ref="D2:G2"/>
    <mergeCell ref="L31:M31"/>
    <mergeCell ref="A47:N47"/>
    <mergeCell ref="A14:N14"/>
    <mergeCell ref="N31:O31"/>
    <mergeCell ref="J48:L48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B43:D45"/>
    <mergeCell ref="B48:D48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  <hyperlink xmlns:r="http://schemas.openxmlformats.org/officeDocument/2006/relationships" ref="J32" r:id="rId12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B0F0"/>
    <outlinePr summaryBelow="1" summaryRight="1"/>
    <pageSetUpPr/>
  </sheetPr>
  <dimension ref="A1:N20"/>
  <sheetViews>
    <sheetView workbookViewId="0">
      <selection activeCell="A1" sqref="A1"/>
    </sheetView>
  </sheetViews>
  <sheetFormatPr baseColWidth="8" defaultRowHeight="15"/>
  <cols>
    <col width="18" customWidth="1" min="1" max="1"/>
    <col width="16" customWidth="1" min="2" max="2"/>
    <col width="16" customWidth="1" min="3" max="3"/>
    <col width="16" customWidth="1" min="4" max="4"/>
    <col width="16" customWidth="1" min="5" max="5"/>
    <col width="14" customWidth="1" min="6" max="6"/>
    <col width="20" customWidth="1" min="7" max="7"/>
    <col width="20" customWidth="1" min="8" max="8"/>
  </cols>
  <sheetData>
    <row r="1" ht="36" customHeight="1">
      <c r="A1" s="94" t="inlineStr">
        <is>
          <t>DAILY DATA ENTRY FORM</t>
        </is>
      </c>
    </row>
    <row r="2" ht="28" customHeight="1">
      <c r="A2" s="95" t="inlineStr">
        <is>
          <t>Fill in shift data for the day, then click SUBMIT DAY.  The dashboard calculates all KPIs for the day, week, and month automatically.</t>
        </is>
      </c>
    </row>
    <row r="3" ht="10" customHeight="1">
      <c r="A3" s="96" t="n"/>
      <c r="B3" s="96" t="n"/>
      <c r="C3" s="96" t="n"/>
      <c r="D3" s="96" t="n"/>
      <c r="E3" s="96" t="n"/>
      <c r="F3" s="96" t="n"/>
      <c r="G3" s="96" t="n"/>
      <c r="H3" s="96" t="n"/>
    </row>
    <row r="4" ht="28" customHeight="1">
      <c r="A4" s="97" t="inlineStr">
        <is>
          <t>Business Date:</t>
        </is>
      </c>
      <c r="B4" s="98" t="n">
        <v>46141</v>
      </c>
      <c r="D4" s="99" t="inlineStr">
        <is>
          <t>(change if entering data for a past date)</t>
        </is>
      </c>
      <c r="E4" s="96" t="n"/>
      <c r="F4" s="96" t="n"/>
      <c r="G4" s="96" t="n"/>
      <c r="H4" s="96" t="n"/>
    </row>
    <row r="5" ht="8" customHeight="1">
      <c r="A5" s="96" t="n"/>
      <c r="B5" s="96" t="n"/>
      <c r="C5" s="96" t="n"/>
      <c r="D5" s="96" t="n"/>
      <c r="E5" s="96" t="n"/>
      <c r="F5" s="96" t="n"/>
      <c r="G5" s="96" t="n"/>
      <c r="H5" s="96" t="n"/>
    </row>
    <row r="6" ht="20" customHeight="1">
      <c r="A6" s="6" t="inlineStr">
        <is>
          <t xml:space="preserve">  SHIFT DATA  —  enter values for each active shift</t>
        </is>
      </c>
    </row>
    <row r="7" ht="18" customHeight="1">
      <c r="A7" s="100" t="inlineStr">
        <is>
          <t>Shift</t>
        </is>
      </c>
      <c r="B7" s="100" t="inlineStr">
        <is>
          <t>Cartons Shipped</t>
        </is>
      </c>
      <c r="C7" s="100" t="inlineStr">
        <is>
          <t>Total Staff</t>
        </is>
      </c>
      <c r="D7" s="100" t="inlineStr">
        <is>
          <t>Target / Person</t>
        </is>
      </c>
      <c r="E7" s="100" t="inlineStr">
        <is>
          <t>Audit Count</t>
        </is>
      </c>
      <c r="F7" s="96" t="n"/>
      <c r="G7" s="96" t="n"/>
      <c r="H7" s="96" t="n"/>
    </row>
    <row r="8" ht="30" customHeight="1">
      <c r="A8" s="101" t="inlineStr">
        <is>
          <t>Day</t>
        </is>
      </c>
      <c r="B8" s="102" t="n">
        <v>0</v>
      </c>
      <c r="C8" s="102" t="n">
        <v>0</v>
      </c>
      <c r="D8" s="102" t="n">
        <v>0</v>
      </c>
      <c r="E8" s="102" t="n">
        <v>0</v>
      </c>
      <c r="F8" s="96" t="n"/>
      <c r="G8" s="96" t="n"/>
      <c r="H8" s="96" t="n"/>
    </row>
    <row r="9" ht="30" customHeight="1">
      <c r="A9" s="103" t="inlineStr">
        <is>
          <t>Night</t>
        </is>
      </c>
      <c r="B9" s="104" t="n">
        <v>0</v>
      </c>
      <c r="C9" s="104" t="n">
        <v>0</v>
      </c>
      <c r="D9" s="104" t="n">
        <v>0</v>
      </c>
      <c r="E9" s="104" t="n">
        <v>0</v>
      </c>
      <c r="F9" s="96" t="n"/>
      <c r="G9" s="96" t="n"/>
      <c r="H9" s="96" t="n"/>
    </row>
    <row r="10" ht="8" customHeight="1">
      <c r="A10" s="96" t="n"/>
      <c r="B10" s="96" t="n"/>
      <c r="C10" s="96" t="n"/>
      <c r="D10" s="96" t="n"/>
      <c r="E10" s="96" t="n"/>
      <c r="F10" s="96" t="n"/>
      <c r="G10" s="96" t="n"/>
      <c r="H10" s="96" t="n"/>
    </row>
    <row r="11" ht="20" customHeight="1">
      <c r="A11" s="105" t="inlineStr">
        <is>
          <t xml:space="preserve">  EXCEPTION COUNTS  (optional — leave blank to use live values from data sheets)</t>
        </is>
      </c>
    </row>
    <row r="12" ht="24" customHeight="1">
      <c r="A12" s="106" t="inlineStr">
        <is>
          <t>HRP Open Items:</t>
        </is>
      </c>
      <c r="B12" s="107" t="inlineStr"/>
      <c r="C12" s="99" t="inlineStr">
        <is>
          <t>(blank = live count from IN_HRP)</t>
        </is>
      </c>
      <c r="D12" s="96" t="n"/>
      <c r="E12" s="96" t="n"/>
      <c r="F12" s="96" t="n"/>
      <c r="G12" s="96" t="n"/>
      <c r="H12" s="96" t="n"/>
    </row>
    <row r="13" ht="24" customHeight="1">
      <c r="A13" s="106" t="inlineStr">
        <is>
          <t>Packed Overdue:</t>
        </is>
      </c>
      <c r="B13" s="107" t="inlineStr"/>
      <c r="C13" s="99" t="inlineStr">
        <is>
          <t>(blank = live count from IN_PACKED)</t>
        </is>
      </c>
      <c r="D13" s="96" t="n"/>
      <c r="E13" s="96" t="n"/>
      <c r="F13" s="96" t="n"/>
      <c r="G13" s="96" t="n"/>
      <c r="H13" s="96" t="n"/>
    </row>
    <row r="14" ht="12" customHeight="1">
      <c r="A14" s="96" t="n"/>
      <c r="B14" s="96" t="n"/>
      <c r="C14" s="96" t="n"/>
      <c r="D14" s="96" t="n"/>
      <c r="E14" s="96" t="n"/>
      <c r="F14" s="96" t="n"/>
      <c r="G14" s="96" t="n"/>
      <c r="H14" s="96" t="n"/>
    </row>
    <row r="15" ht="30" customHeight="1">
      <c r="A15" s="96" t="n"/>
      <c r="B15" s="108" t="inlineStr">
        <is>
          <t>[ SUBMIT DAY ]</t>
        </is>
      </c>
      <c r="D15" s="96" t="n"/>
      <c r="E15" s="109" t="inlineStr">
        <is>
          <t>[ CLEAR FORM ]</t>
        </is>
      </c>
      <c r="G15" s="96" t="n"/>
      <c r="H15" s="96" t="n"/>
    </row>
    <row r="16" ht="16" customHeight="1">
      <c r="A16" s="96" t="n"/>
      <c r="B16" s="110" t="inlineStr">
        <is>
          <t>Save data and update HISTORY</t>
        </is>
      </c>
      <c r="D16" s="96" t="n"/>
      <c r="E16" s="110" t="inlineStr">
        <is>
          <t>Reset all fields to zero / today</t>
        </is>
      </c>
      <c r="G16" s="96" t="n"/>
      <c r="H16" s="96" t="n"/>
    </row>
    <row r="17" ht="8" customHeight="1">
      <c r="A17" s="96" t="n"/>
      <c r="B17" s="96" t="n"/>
      <c r="C17" s="96" t="n"/>
      <c r="D17" s="96" t="n"/>
      <c r="E17" s="96" t="n"/>
      <c r="F17" s="96" t="n"/>
      <c r="G17" s="96" t="n"/>
      <c r="H17" s="96" t="n"/>
    </row>
    <row r="18" ht="16" customHeight="1">
      <c r="A18" s="96" t="n"/>
      <c r="B18" s="111" t="inlineStr">
        <is>
          <t>&lt;&lt; Back to DASHBOARD</t>
        </is>
      </c>
      <c r="C18" s="96" t="n"/>
      <c r="D18" s="96" t="n"/>
      <c r="E18" s="96" t="n"/>
      <c r="F18" s="96" t="n"/>
      <c r="G18" s="96" t="n"/>
      <c r="H18" s="96" t="n"/>
    </row>
    <row r="19">
      <c r="A19" s="96" t="n"/>
      <c r="B19" s="96" t="n"/>
      <c r="C19" s="96" t="n"/>
      <c r="D19" s="96" t="n"/>
      <c r="E19" s="96" t="n"/>
      <c r="F19" s="96" t="n"/>
      <c r="G19" s="96" t="n"/>
      <c r="H19" s="96" t="n"/>
    </row>
    <row r="20">
      <c r="A20" s="96" t="n"/>
      <c r="B20" s="96" t="n"/>
      <c r="C20" s="96" t="n"/>
      <c r="D20" s="96" t="n"/>
      <c r="E20" s="96" t="n"/>
      <c r="F20" s="96" t="n"/>
      <c r="G20" s="96" t="n"/>
      <c r="H20" s="96" t="n"/>
    </row>
  </sheetData>
  <mergeCells count="9">
    <mergeCell ref="B16:C16"/>
    <mergeCell ref="A6:N6"/>
    <mergeCell ref="B15:C15"/>
    <mergeCell ref="E16:F16"/>
    <mergeCell ref="E15:F15"/>
    <mergeCell ref="A2:H2"/>
    <mergeCell ref="A11:H11"/>
    <mergeCell ref="A1:H1"/>
    <mergeCell ref="B4:C4"/>
  </mergeCells>
  <hyperlinks>
    <hyperlink xmlns:r="http://schemas.openxmlformats.org/officeDocument/2006/relationships" ref="B18" r:id="rId1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112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113" t="inlineStr">
        <is>
          <t>CONFIG - DO NOT DELETE OR RENAME THIS SHEET</t>
        </is>
      </c>
    </row>
    <row r="2"/>
    <row r="3">
      <c r="A3" s="114" t="inlineStr">
        <is>
          <t>SHIFTS</t>
        </is>
      </c>
      <c r="E3" s="114" t="inlineStr">
        <is>
          <t>AREA LIST</t>
        </is>
      </c>
    </row>
    <row r="4">
      <c r="A4" s="115" t="inlineStr">
        <is>
          <t>ShiftName</t>
        </is>
      </c>
      <c r="B4" s="115" t="inlineStr">
        <is>
          <t>StartTime</t>
        </is>
      </c>
      <c r="C4" s="115" t="inlineStr">
        <is>
          <t>EndTime</t>
        </is>
      </c>
      <c r="D4" s="115" t="inlineStr">
        <is>
          <t>DaysPerWeek</t>
        </is>
      </c>
      <c r="E4" s="115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114" t="inlineStr">
        <is>
          <t>KPI RULES</t>
        </is>
      </c>
    </row>
    <row r="10">
      <c r="A10" s="115" t="inlineStr">
        <is>
          <t>RuleName</t>
        </is>
      </c>
      <c r="B10" s="115" t="inlineStr">
        <is>
          <t>Value</t>
        </is>
      </c>
      <c r="C10" s="115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5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115" t="inlineStr">
        <is>
          <t>LPN</t>
        </is>
      </c>
      <c r="B1" s="115" t="inlineStr">
        <is>
          <t>PALLET</t>
        </is>
      </c>
      <c r="C1" s="115" t="inlineStr">
        <is>
          <t>STORE</t>
        </is>
      </c>
      <c r="D1" s="115" t="inlineStr">
        <is>
          <t>DIVISION</t>
        </is>
      </c>
      <c r="E1" s="115" t="inlineStr">
        <is>
          <t>FACILITY_NAME</t>
        </is>
      </c>
      <c r="F1" s="115" t="inlineStr">
        <is>
          <t>STORE_STATUS</t>
        </is>
      </c>
      <c r="G1" s="115" t="inlineStr">
        <is>
          <t>PICK_LOC</t>
        </is>
      </c>
      <c r="H1" s="115" t="inlineStr">
        <is>
          <t>UNITS</t>
        </is>
      </c>
      <c r="I1" s="115" t="inlineStr">
        <is>
          <t>LAST_UPDATE</t>
        </is>
      </c>
      <c r="J1" s="115" t="inlineStr">
        <is>
          <t>DAYS_SINCE_CLOSE</t>
        </is>
      </c>
      <c r="K1" s="115" t="inlineStr">
        <is>
          <t>LOCKS</t>
        </is>
      </c>
      <c r="L1" s="115" t="inlineStr">
        <is>
          <t>TOT_COST</t>
        </is>
      </c>
      <c r="M1" s="115" t="inlineStr">
        <is>
          <t>TOT_RETAIL</t>
        </is>
      </c>
      <c r="N1" s="115" t="inlineStr">
        <is>
          <t>LAST_PACKED</t>
        </is>
      </c>
      <c r="O1" s="115" t="inlineStr">
        <is>
          <t>AgeDays</t>
        </is>
      </c>
      <c r="P1" s="115" t="inlineStr">
        <is>
          <t>IsShipped</t>
        </is>
      </c>
      <c r="Q1" s="115" t="inlineStr">
        <is>
          <t>PackedStatus</t>
        </is>
      </c>
      <c r="R1" s="115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116" t="n">
        <v>46141.445343753</v>
      </c>
      <c r="J2" t="n">
        <v>1</v>
      </c>
      <c r="K2" t="n">
        <v>0</v>
      </c>
      <c r="L2" t="n">
        <v>100</v>
      </c>
      <c r="M2" t="n">
        <v>150</v>
      </c>
      <c r="N2" s="116" t="n">
        <v>46140.41666666666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115" t="inlineStr">
        <is>
          <t>CATEGORY</t>
        </is>
      </c>
      <c r="B1" s="115" t="inlineStr">
        <is>
          <t>DAYS_SINCE_AVAILABLE_FOR_CITY</t>
        </is>
      </c>
      <c r="C1" s="115" t="inlineStr">
        <is>
          <t>DATE_SCANNED_TO_CITY</t>
        </is>
      </c>
      <c r="D1" s="115" t="inlineStr">
        <is>
          <t>OLPN</t>
        </is>
      </c>
      <c r="E1" s="115" t="inlineStr">
        <is>
          <t>XREF_OLPN</t>
        </is>
      </c>
      <c r="F1" s="115" t="inlineStr">
        <is>
          <t>STORE_NUMBER</t>
        </is>
      </c>
      <c r="G1" s="115" t="inlineStr">
        <is>
          <t>STORE_NAME</t>
        </is>
      </c>
      <c r="H1" s="115" t="inlineStr">
        <is>
          <t>CARTON_LOCKS</t>
        </is>
      </c>
      <c r="I1" s="115" t="inlineStr">
        <is>
          <t>LPN_STATUS</t>
        </is>
      </c>
      <c r="J1" s="115" t="inlineStr">
        <is>
          <t>STORE_ACK_STATUS</t>
        </is>
      </c>
      <c r="K1" s="115" t="inlineStr">
        <is>
          <t>UNITS</t>
        </is>
      </c>
      <c r="L1" s="115" t="inlineStr">
        <is>
          <t>COST_VALUE</t>
        </is>
      </c>
      <c r="M1" s="115" t="inlineStr">
        <is>
          <t>RETAIL_VALUE</t>
        </is>
      </c>
      <c r="N1" s="115" t="inlineStr">
        <is>
          <t>CartonID</t>
        </is>
      </c>
      <c r="O1" s="115" t="inlineStr">
        <is>
          <t>IsAcknowledged</t>
        </is>
      </c>
      <c r="P1" s="115" t="inlineStr">
        <is>
          <t>IncludeInHRP</t>
        </is>
      </c>
      <c r="Q1" s="115" t="inlineStr">
        <is>
          <t>AgeBucket</t>
        </is>
      </c>
    </row>
    <row r="2">
      <c r="A2" t="inlineStr">
        <is>
          <t>HRP</t>
        </is>
      </c>
      <c r="B2" t="n">
        <v>0</v>
      </c>
      <c r="C2" s="116" t="n">
        <v>46141.44534377092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LPN</t>
        </is>
      </c>
      <c r="D1" s="115" t="inlineStr">
        <is>
          <t>EnteredBy</t>
        </is>
      </c>
      <c r="E1" s="115" t="inlineStr">
        <is>
          <t>Notes</t>
        </is>
      </c>
      <c r="F1" s="115" t="inlineStr">
        <is>
          <t>DupFlag</t>
        </is>
      </c>
    </row>
    <row r="2">
      <c r="A2" s="117" t="n">
        <v>46141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StaffAvailable</t>
        </is>
      </c>
    </row>
    <row r="2">
      <c r="A2" s="117" t="n">
        <v>46141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TargetPerPersonPerShift</t>
        </is>
      </c>
    </row>
    <row r="2">
      <c r="A2" s="117" t="n">
        <v>46141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Area</t>
        </is>
      </c>
      <c r="D1" s="115" t="inlineStr">
        <is>
          <t>AuditCount</t>
        </is>
      </c>
      <c r="E1" s="115" t="inlineStr">
        <is>
          <t>Notes</t>
        </is>
      </c>
    </row>
    <row r="2">
      <c r="A2" s="117" t="n">
        <v>46141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115" t="inlineStr">
        <is>
          <t>BusinessDate</t>
        </is>
      </c>
      <c r="B1" s="115" t="inlineStr">
        <is>
          <t>ShiftName</t>
        </is>
      </c>
      <c r="C1" s="115" t="inlineStr">
        <is>
          <t>ShippedCartons</t>
        </is>
      </c>
      <c r="D1" s="115" t="inlineStr">
        <is>
          <t>TotalStaff</t>
        </is>
      </c>
      <c r="E1" s="115" t="inlineStr">
        <is>
          <t>TargetPerPerson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AuditCount</t>
        </is>
      </c>
      <c r="J1" s="115" t="inlineStr">
        <is>
          <t>AuditTarget</t>
        </is>
      </c>
      <c r="K1" s="115" t="inlineStr">
        <is>
          <t>AuditPct</t>
        </is>
      </c>
      <c r="L1" s="115" t="inlineStr">
        <is>
          <t>HRPOpen</t>
        </is>
      </c>
      <c r="M1" s="115" t="inlineStr">
        <is>
          <t>PackedOverdue</t>
        </is>
      </c>
    </row>
    <row r="2">
      <c r="A2" s="117" t="n">
        <v>46141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118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118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115" t="inlineStr">
        <is>
          <t>BusinessDate</t>
        </is>
      </c>
      <c r="B1" s="115" t="inlineStr">
        <is>
          <t>TotalShipped</t>
        </is>
      </c>
      <c r="C1" s="115" t="inlineStr">
        <is>
          <t>TotalStaff</t>
        </is>
      </c>
      <c r="D1" s="115" t="inlineStr">
        <is>
          <t>TotalExpected</t>
        </is>
      </c>
      <c r="E1" s="115" t="inlineStr">
        <is>
          <t>DailyPerformancePct</t>
        </is>
      </c>
    </row>
    <row r="2">
      <c r="A2" s="117" t="n">
        <v>46141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118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119" t="inlineStr">
        <is>
          <t>CATEGORY</t>
        </is>
      </c>
      <c r="B1" s="119" t="inlineStr">
        <is>
          <t>CartonID</t>
        </is>
      </c>
      <c r="C1" s="119" t="inlineStr">
        <is>
          <t>STORE_NUMBER</t>
        </is>
      </c>
      <c r="D1" s="119" t="inlineStr">
        <is>
          <t>STORE_NAME</t>
        </is>
      </c>
      <c r="E1" s="119" t="inlineStr">
        <is>
          <t>DAYS_SINCE_AVAILABLE_FOR_CITY</t>
        </is>
      </c>
      <c r="F1" s="119" t="inlineStr">
        <is>
          <t>STORE_ACK_STATUS</t>
        </is>
      </c>
      <c r="G1" s="119" t="inlineStr">
        <is>
          <t>UNITS</t>
        </is>
      </c>
      <c r="H1" s="119" t="inlineStr">
        <is>
          <t>COST_VALUE</t>
        </is>
      </c>
      <c r="I1" s="119" t="inlineStr">
        <is>
          <t>Owner</t>
        </is>
      </c>
      <c r="J1" s="119" t="inlineStr">
        <is>
          <t>ContactedCity</t>
        </is>
      </c>
      <c r="K1" s="119" t="inlineStr">
        <is>
          <t>ContactTime</t>
        </is>
      </c>
      <c r="L1" s="119" t="inlineStr">
        <is>
          <t>NextStep</t>
        </is>
      </c>
    </row>
    <row r="2">
      <c r="A2" s="120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119" t="inlineStr">
        <is>
          <t>LPN</t>
        </is>
      </c>
      <c r="B1" s="119" t="inlineStr">
        <is>
          <t>STORE</t>
        </is>
      </c>
      <c r="C1" s="119" t="inlineStr">
        <is>
          <t>DIVISION</t>
        </is>
      </c>
      <c r="D1" s="119" t="inlineStr">
        <is>
          <t>AgeDays</t>
        </is>
      </c>
      <c r="E1" s="119" t="inlineStr">
        <is>
          <t>PackedStatus</t>
        </is>
      </c>
      <c r="F1" s="119" t="inlineStr">
        <is>
          <t>UNITS</t>
        </is>
      </c>
      <c r="G1" s="119" t="inlineStr">
        <is>
          <t>HoldReason</t>
        </is>
      </c>
      <c r="H1" s="119" t="inlineStr">
        <is>
          <t>Owner</t>
        </is>
      </c>
      <c r="I1" s="119" t="inlineStr">
        <is>
          <t>PlannedShipTime</t>
        </is>
      </c>
    </row>
    <row r="2">
      <c r="A2" s="120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115" t="inlineStr">
        <is>
          <t>SnapshotTimestamp</t>
        </is>
      </c>
      <c r="B1" s="115" t="inlineStr">
        <is>
          <t>BusinessDate</t>
        </is>
      </c>
      <c r="C1" s="115" t="inlineStr">
        <is>
          <t>ShiftName</t>
        </is>
      </c>
      <c r="D1" s="115" t="inlineStr">
        <is>
          <t>ShippedCartons</t>
        </is>
      </c>
      <c r="E1" s="115" t="inlineStr">
        <is>
          <t>TotalStaff</t>
        </is>
      </c>
      <c r="F1" s="115" t="inlineStr">
        <is>
          <t>ExpectedCartons</t>
        </is>
      </c>
      <c r="G1" s="115" t="inlineStr">
        <is>
          <t>PerformancePct</t>
        </is>
      </c>
      <c r="H1" s="115" t="inlineStr">
        <is>
          <t>RAG</t>
        </is>
      </c>
      <c r="I1" s="115" t="inlineStr">
        <is>
          <t>HRP_OpenCount</t>
        </is>
      </c>
      <c r="J1" s="115" t="inlineStr">
        <is>
          <t>Packed_OverdueCount</t>
        </is>
      </c>
      <c r="K1" s="115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121" t="inlineStr">
        <is>
          <t>DATA QUALITY CHECKS</t>
        </is>
      </c>
    </row>
    <row r="2"/>
    <row r="3">
      <c r="A3" s="115" t="inlineStr">
        <is>
          <t>Check</t>
        </is>
      </c>
      <c r="B3" s="115" t="inlineStr">
        <is>
          <t>Formula / Logic</t>
        </is>
      </c>
      <c r="C3" s="115" t="inlineStr">
        <is>
          <t>Result</t>
        </is>
      </c>
      <c r="D3" s="115" t="inlineStr">
        <is>
          <t>Status</t>
        </is>
      </c>
    </row>
    <row r="4">
      <c r="A4" s="122" t="inlineStr">
        <is>
          <t>Missing CartonID in HRP</t>
        </is>
      </c>
      <c r="B4" s="122" t="inlineStr">
        <is>
          <t>'=COUNTIFS(tblHRP[CartonID],"")</t>
        </is>
      </c>
      <c r="C4" s="122">
        <f>COUNTIFS(tblHRP[CartonID],"")</f>
        <v/>
      </c>
      <c r="D4" s="122">
        <f>IF(C4=0,"OK","WARNING")</f>
        <v/>
      </c>
    </row>
    <row r="5">
      <c r="A5" s="122" t="inlineStr">
        <is>
          <t>Future dates in IN_PACKED (LAST_PACKED)</t>
        </is>
      </c>
      <c r="B5" s="122" t="inlineStr">
        <is>
          <t>'=COUNTIF(tblPacked[LAST_PACKED],"&gt;"&amp;TODAY())</t>
        </is>
      </c>
      <c r="C5" s="122">
        <f>COUNTIF(tblPacked[LAST_PACKED],"&gt;"&amp;TODAY())</f>
        <v/>
      </c>
      <c r="D5" s="122">
        <f>IF(C5=0,"OK","WARNING")</f>
        <v/>
      </c>
    </row>
    <row r="6">
      <c r="A6" s="122" t="inlineStr">
        <is>
          <t>Future dates in IN_SHIPPED_LPNS (BusinessDate)</t>
        </is>
      </c>
      <c r="B6" s="122" t="inlineStr">
        <is>
          <t>'=COUNTIF(tblShipped[BusinessDate],"&gt;"&amp;TODAY())</t>
        </is>
      </c>
      <c r="C6" s="122">
        <f>COUNTIF(tblShipped[BusinessDate],"&gt;"&amp;TODAY())</f>
        <v/>
      </c>
      <c r="D6" s="122">
        <f>IF(C6=0,"OK","WARNING")</f>
        <v/>
      </c>
    </row>
    <row r="7">
      <c r="A7" s="122" t="inlineStr">
        <is>
          <t>Duplicate LPNs in Shipped list</t>
        </is>
      </c>
      <c r="B7" s="122" t="inlineStr">
        <is>
          <t>'=COUNTIF(tblShipped[DupFlag],TRUE)</t>
        </is>
      </c>
      <c r="C7" s="122">
        <f>COUNTIF(tblShipped[DupFlag],TRUE)</f>
        <v/>
      </c>
      <c r="D7" s="122">
        <f>IF(C7=0,"OK","WARNING")</f>
        <v/>
      </c>
    </row>
    <row r="8">
      <c r="A8" s="122" t="inlineStr">
        <is>
          <t>StaffAvailable = 0 rows in Staffing</t>
        </is>
      </c>
      <c r="B8" s="122" t="inlineStr">
        <is>
          <t>'=COUNTIF(tblStaffing[StaffAvailable],0)</t>
        </is>
      </c>
      <c r="C8" s="122">
        <f>COUNTIF(tblStaffing[StaffAvailable],0)</f>
        <v/>
      </c>
      <c r="D8" s="122">
        <f>IF(C8=0,"OK","WARNING")</f>
        <v/>
      </c>
    </row>
    <row r="9">
      <c r="A9" s="122" t="inlineStr">
        <is>
          <t>Invalid ShiftName in Shipped (not Day/Night)</t>
        </is>
      </c>
      <c r="B9" s="122" t="inlineStr">
        <is>
          <t>'=SUMPRODUCT((tblShipped[ShiftName]&lt;&gt;"Day")*(tblShipped[ShiftName]&lt;&gt;"Night")*(tblShipped[ShiftName]&lt;&gt;""))</t>
        </is>
      </c>
      <c r="C9" s="122">
        <f>SUMPRODUCT((tblShipped[ShiftName]&lt;&gt;"Day")*(tblShipped[ShiftName]&lt;&gt;"Night")*(tblShipped[ShiftName]&lt;&gt;""))</f>
        <v/>
      </c>
      <c r="D9" s="122">
        <f>IF(C9=0,"OK","WARNING")</f>
        <v/>
      </c>
    </row>
    <row r="10">
      <c r="A10" s="122" t="inlineStr">
        <is>
          <t>Invalid ShiftName in Staffing</t>
        </is>
      </c>
      <c r="B10" s="122" t="inlineStr">
        <is>
          <t>'=SUMPRODUCT((tblStaffing[ShiftName]&lt;&gt;"Day")*(tblStaffing[ShiftName]&lt;&gt;"Night")*(tblStaffing[ShiftName]&lt;&gt;""))</t>
        </is>
      </c>
      <c r="C10" s="122">
        <f>SUMPRODUCT((tblStaffing[ShiftName]&lt;&gt;"Day")*(tblStaffing[ShiftName]&lt;&gt;"Night")*(tblStaffing[ShiftName]&lt;&gt;""))</f>
        <v/>
      </c>
      <c r="D10" s="122">
        <f>IF(C10=0,"OK","WARNING")</f>
        <v/>
      </c>
    </row>
    <row r="11">
      <c r="A11" s="122" t="inlineStr">
        <is>
          <t>HRP rows with IncludeInHRP=TRUE (open action items)</t>
        </is>
      </c>
      <c r="B11" s="122" t="inlineStr">
        <is>
          <t>'=COUNTIF(tblHRP[IncludeInHRP],TRUE)</t>
        </is>
      </c>
      <c r="C11" s="122">
        <f>COUNTIF(tblHRP[IncludeInHRP],TRUE)</f>
        <v/>
      </c>
      <c r="D11" s="122">
        <f>IF(C11=0,"OK","WARNING")</f>
        <v/>
      </c>
    </row>
    <row r="12">
      <c r="A12" s="122" t="inlineStr">
        <is>
          <t>Packed items where ActionFlag=TRUE (overdue)</t>
        </is>
      </c>
      <c r="B12" s="122" t="inlineStr">
        <is>
          <t>'=COUNTIF(tblPacked[ActionFlag],TRUE)</t>
        </is>
      </c>
      <c r="C12" s="122">
        <f>COUNTIF(tblPacked[ActionFlag],TRUE)</f>
        <v/>
      </c>
      <c r="D12" s="122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2026-04-29T10:41:17Z</dcterms:created>
  <dcterms:modified xsi:type="dcterms:W3CDTF">2026-04-29T10:41:17Z</dcterms:modified>
</cp:coreProperties>
</file>