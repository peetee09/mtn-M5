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CHARTS" sheetId="2" state="visible" r:id="rId2"/>
    <sheet name="CONFIG" sheetId="3" state="visible" r:id="rId3"/>
    <sheet name="IN_PACKED" sheetId="4" state="visible" r:id="rId4"/>
    <sheet name="IN_HRP" sheetId="5" state="visible" r:id="rId5"/>
    <sheet name="IN_SHIPPED_LPNS" sheetId="6" state="visible" r:id="rId6"/>
    <sheet name="IN_STAFFING" sheetId="7" state="visible" r:id="rId7"/>
    <sheet name="IN_TARGETS_DAILY" sheetId="8" state="visible" r:id="rId8"/>
    <sheet name="IN_AUDIT_LOG" sheetId="9" state="visible" r:id="rId9"/>
    <sheet name="T_DISPATCH_KPI" sheetId="10" state="visible" r:id="rId10"/>
    <sheet name="T_DISPATCH_DAILY" sheetId="11" state="visible" r:id="rId11"/>
    <sheet name="ACTION_HRP" sheetId="12" state="visible" r:id="rId12"/>
    <sheet name="ACTION_PACKED" sheetId="13" state="visible" r:id="rId13"/>
    <sheet name="HISTORY" sheetId="14" state="visible" r:id="rId14"/>
    <sheet name="DATA_QUALITY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:mm:ss"/>
    <numFmt numFmtId="165" formatCode="yyyy-mm-dd"/>
    <numFmt numFmtId="166" formatCode="0.0%"/>
  </numFmts>
  <fonts count="30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11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i val="1"/>
      <color rgb="00666666"/>
      <sz val="8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</fonts>
  <fills count="17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ECF0F7"/>
      </patternFill>
    </fill>
    <fill>
      <patternFill patternType="solid">
        <fgColor rgb="FF2E4057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0070C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F7F7F7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FFF4CC"/>
      </patternFill>
    </fill>
  </fills>
  <borders count="42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right" vertical="center"/>
    </xf>
    <xf numFmtId="0" fontId="10" fillId="5" borderId="0" applyAlignment="1" pivotButton="0" quotePrefix="0" xfId="0">
      <alignment horizontal="left" vertical="center"/>
    </xf>
    <xf numFmtId="0" fontId="11" fillId="5" borderId="0" applyAlignment="1" pivotButton="0" quotePrefix="0" xfId="0">
      <alignment horizontal="right" vertical="center"/>
    </xf>
    <xf numFmtId="0" fontId="7" fillId="4" borderId="0" pivotButton="0" quotePrefix="0" xfId="0"/>
    <xf numFmtId="0" fontId="12" fillId="6" borderId="0" applyAlignment="1" pivotButton="0" quotePrefix="0" xfId="0">
      <alignment horizontal="left" vertical="center"/>
    </xf>
    <xf numFmtId="0" fontId="13" fillId="7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3" fillId="9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14" fillId="8" borderId="5" applyAlignment="1" pivotButton="0" quotePrefix="0" xfId="0">
      <alignment horizontal="center" vertical="center"/>
    </xf>
    <xf numFmtId="0" fontId="0" fillId="0" borderId="6" pivotButton="0" quotePrefix="0" xfId="0"/>
    <xf numFmtId="0" fontId="15" fillId="8" borderId="13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" pivotButton="0" quotePrefix="0" xfId="0"/>
    <xf numFmtId="0" fontId="0" fillId="0" borderId="1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13" fillId="10" borderId="1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13" fillId="11" borderId="26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16" fillId="8" borderId="21" applyAlignment="1" pivotButton="0" quotePrefix="0" xfId="0">
      <alignment horizontal="center" vertical="center"/>
    </xf>
    <xf numFmtId="0" fontId="0" fillId="0" borderId="22" pivotButton="0" quotePrefix="0" xfId="0"/>
    <xf numFmtId="0" fontId="17" fillId="8" borderId="29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21" pivotButton="0" quotePrefix="0" xfId="0"/>
    <xf numFmtId="0" fontId="0" fillId="0" borderId="29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9" borderId="1" applyAlignment="1" pivotButton="0" quotePrefix="0" xfId="0">
      <alignment horizontal="center" vertical="center"/>
    </xf>
    <xf numFmtId="0" fontId="18" fillId="8" borderId="1" applyAlignment="1" pivotButton="0" quotePrefix="0" xfId="0">
      <alignment horizontal="center" vertical="center"/>
    </xf>
    <xf numFmtId="0" fontId="18" fillId="12" borderId="1" applyAlignment="1" pivotButton="0" quotePrefix="0" xfId="0">
      <alignment horizontal="center" vertical="center"/>
    </xf>
    <xf numFmtId="0" fontId="12" fillId="13" borderId="0" applyAlignment="1" pivotButton="0" quotePrefix="0" xfId="0">
      <alignment horizontal="left" vertical="center"/>
    </xf>
    <xf numFmtId="0" fontId="13" fillId="13" borderId="34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19" fillId="8" borderId="37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12" fillId="14" borderId="0" applyAlignment="1" pivotButton="0" quotePrefix="0" xfId="0">
      <alignment horizontal="left" vertical="center"/>
    </xf>
    <xf numFmtId="0" fontId="13" fillId="11" borderId="1" applyAlignment="1" pivotButton="0" quotePrefix="0" xfId="0">
      <alignment horizontal="center" vertical="center"/>
    </xf>
    <xf numFmtId="0" fontId="13" fillId="10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/>
    </xf>
    <xf numFmtId="0" fontId="12" fillId="15" borderId="0" applyAlignment="1" pivotButton="0" quotePrefix="0" xfId="0">
      <alignment horizontal="left" vertical="center"/>
    </xf>
    <xf numFmtId="0" fontId="21" fillId="8" borderId="1" applyAlignment="1" pivotButton="0" quotePrefix="0" xfId="0">
      <alignment horizontal="center" vertical="center"/>
    </xf>
    <xf numFmtId="0" fontId="22" fillId="8" borderId="1" applyAlignment="1" pivotButton="0" quotePrefix="0" xfId="0">
      <alignment horizontal="center" vertical="center"/>
    </xf>
    <xf numFmtId="0" fontId="23" fillId="8" borderId="1" applyAlignment="1" pivotButton="0" quotePrefix="0" xfId="0">
      <alignment horizontal="center" vertical="center"/>
    </xf>
    <xf numFmtId="0" fontId="24" fillId="8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6" fillId="8" borderId="1" applyAlignment="1" pivotButton="0" quotePrefix="0" xfId="0">
      <alignment horizontal="center" vertical="center"/>
    </xf>
    <xf numFmtId="0" fontId="27" fillId="8" borderId="1" applyAlignment="1" pivotButton="0" quotePrefix="0" xfId="0">
      <alignment horizontal="center" vertical="center"/>
    </xf>
    <xf numFmtId="0" fontId="12" fillId="2" borderId="0" applyAlignment="1" pivotButton="0" quotePrefix="0" xfId="0">
      <alignment horizontal="left" vertical="center"/>
    </xf>
    <xf numFmtId="0" fontId="28" fillId="16" borderId="0" applyAlignment="1" pivotButton="0" quotePrefix="0" xfId="0">
      <alignment horizontal="left" vertical="center" wrapText="1"/>
    </xf>
    <xf numFmtId="0" fontId="29" fillId="16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Type="http://schemas.microsoft.com/office/2006/relationships/vbaProject" Target="vbaProject.bin" Id="rId18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0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5" t="n"/>
      <c r="K32" s="5" t="n"/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>
      <c r="A38" s="5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>
      <c r="A39" s="5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</row>
    <row r="40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>
      <c r="A41" s="5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</row>
    <row r="42">
      <c r="A42" s="5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</row>
    <row r="43">
      <c r="A43" s="5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</row>
    <row r="44">
      <c r="A44" s="5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</row>
    <row r="45">
      <c r="A45" s="5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</row>
    <row r="46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>
      <c r="A47" s="5" t="n"/>
      <c r="B47" s="5" t="n"/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</row>
    <row r="48">
      <c r="A48" s="5" t="n"/>
      <c r="B48" s="5" t="n"/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</row>
    <row r="49">
      <c r="A49" s="5" t="n"/>
      <c r="B49" s="5" t="n"/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</row>
    <row r="50">
      <c r="A50" s="5" t="n"/>
      <c r="B50" s="5" t="n"/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</row>
  </sheetData>
  <mergeCells count="52">
    <mergeCell ref="F5:H5"/>
    <mergeCell ref="A34:N34"/>
    <mergeCell ref="J6:L8"/>
    <mergeCell ref="F36:H36"/>
    <mergeCell ref="J36:L36"/>
    <mergeCell ref="A30:N30"/>
    <mergeCell ref="J27:L27"/>
    <mergeCell ref="B10:D12"/>
    <mergeCell ref="B31:C31"/>
    <mergeCell ref="H31:I31"/>
    <mergeCell ref="D31:E31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D32:E32"/>
    <mergeCell ref="F9:H9"/>
    <mergeCell ref="F32:G32"/>
    <mergeCell ref="F37:H37"/>
    <mergeCell ref="J21:L21"/>
    <mergeCell ref="B5:D5"/>
    <mergeCell ref="B36:D36"/>
    <mergeCell ref="J22:L24"/>
    <mergeCell ref="H32:I32"/>
    <mergeCell ref="A26:N26"/>
    <mergeCell ref="F31:G31"/>
    <mergeCell ref="F10:H12"/>
    <mergeCell ref="J31:K31"/>
    <mergeCell ref="D2:G2"/>
    <mergeCell ref="L31:M31"/>
    <mergeCell ref="A14:N14"/>
    <mergeCell ref="N31:O31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74" t="inlineStr">
        <is>
          <t>CONFIG - DO NOT DELETE OR RENAME THIS SHEET</t>
        </is>
      </c>
    </row>
    <row r="2"/>
    <row r="3">
      <c r="A3" s="75" t="inlineStr">
        <is>
          <t>SHIFTS</t>
        </is>
      </c>
      <c r="E3" s="75" t="inlineStr">
        <is>
          <t>AREA LIST</t>
        </is>
      </c>
    </row>
    <row r="4">
      <c r="A4" s="76" t="inlineStr">
        <is>
          <t>ShiftName</t>
        </is>
      </c>
      <c r="B4" s="76" t="inlineStr">
        <is>
          <t>StartTime</t>
        </is>
      </c>
      <c r="C4" s="76" t="inlineStr">
        <is>
          <t>EndTime</t>
        </is>
      </c>
      <c r="D4" s="76" t="inlineStr">
        <is>
          <t>DaysPerWeek</t>
        </is>
      </c>
      <c r="E4" s="76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75" t="inlineStr">
        <is>
          <t>KPI RULES</t>
        </is>
      </c>
    </row>
    <row r="10">
      <c r="A10" s="76" t="inlineStr">
        <is>
          <t>RuleName</t>
        </is>
      </c>
      <c r="B10" s="76" t="inlineStr">
        <is>
          <t>Value</t>
        </is>
      </c>
      <c r="C10" s="76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76" t="inlineStr">
        <is>
          <t>LPN</t>
        </is>
      </c>
      <c r="B1" s="76" t="inlineStr">
        <is>
          <t>PALLET</t>
        </is>
      </c>
      <c r="C1" s="76" t="inlineStr">
        <is>
          <t>STORE</t>
        </is>
      </c>
      <c r="D1" s="76" t="inlineStr">
        <is>
          <t>DIVISION</t>
        </is>
      </c>
      <c r="E1" s="76" t="inlineStr">
        <is>
          <t>FACILITY_NAME</t>
        </is>
      </c>
      <c r="F1" s="76" t="inlineStr">
        <is>
          <t>STORE_STATUS</t>
        </is>
      </c>
      <c r="G1" s="76" t="inlineStr">
        <is>
          <t>PICK_LOC</t>
        </is>
      </c>
      <c r="H1" s="76" t="inlineStr">
        <is>
          <t>UNITS</t>
        </is>
      </c>
      <c r="I1" s="76" t="inlineStr">
        <is>
          <t>LAST_UPDATE</t>
        </is>
      </c>
      <c r="J1" s="76" t="inlineStr">
        <is>
          <t>DAYS_SINCE_CLOSE</t>
        </is>
      </c>
      <c r="K1" s="76" t="inlineStr">
        <is>
          <t>LOCKS</t>
        </is>
      </c>
      <c r="L1" s="76" t="inlineStr">
        <is>
          <t>TOT_COST</t>
        </is>
      </c>
      <c r="M1" s="76" t="inlineStr">
        <is>
          <t>TOT_RETAIL</t>
        </is>
      </c>
      <c r="N1" s="76" t="inlineStr">
        <is>
          <t>LAST_PACKED</t>
        </is>
      </c>
      <c r="O1" s="76" t="inlineStr">
        <is>
          <t>AgeDays</t>
        </is>
      </c>
      <c r="P1" s="76" t="inlineStr">
        <is>
          <t>IsShipped</t>
        </is>
      </c>
      <c r="Q1" s="76" t="inlineStr">
        <is>
          <t>PackedStatus</t>
        </is>
      </c>
      <c r="R1" s="76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77" t="n">
        <v>46137.58305356507</v>
      </c>
      <c r="J2" t="n">
        <v>1</v>
      </c>
      <c r="K2" t="n">
        <v>0</v>
      </c>
      <c r="L2" t="n">
        <v>100</v>
      </c>
      <c r="M2" t="n">
        <v>150</v>
      </c>
      <c r="N2" s="77" t="n">
        <v>46136.41666666666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76" t="inlineStr">
        <is>
          <t>CATEGORY</t>
        </is>
      </c>
      <c r="B1" s="76" t="inlineStr">
        <is>
          <t>DAYS_SINCE_AVAILABLE_FOR_CITY</t>
        </is>
      </c>
      <c r="C1" s="76" t="inlineStr">
        <is>
          <t>DATE_SCANNED_TO_CITY</t>
        </is>
      </c>
      <c r="D1" s="76" t="inlineStr">
        <is>
          <t>OLPN</t>
        </is>
      </c>
      <c r="E1" s="76" t="inlineStr">
        <is>
          <t>XREF_OLPN</t>
        </is>
      </c>
      <c r="F1" s="76" t="inlineStr">
        <is>
          <t>STORE_NUMBER</t>
        </is>
      </c>
      <c r="G1" s="76" t="inlineStr">
        <is>
          <t>STORE_NAME</t>
        </is>
      </c>
      <c r="H1" s="76" t="inlineStr">
        <is>
          <t>CARTON_LOCKS</t>
        </is>
      </c>
      <c r="I1" s="76" t="inlineStr">
        <is>
          <t>LPN_STATUS</t>
        </is>
      </c>
      <c r="J1" s="76" t="inlineStr">
        <is>
          <t>STORE_ACK_STATUS</t>
        </is>
      </c>
      <c r="K1" s="76" t="inlineStr">
        <is>
          <t>UNITS</t>
        </is>
      </c>
      <c r="L1" s="76" t="inlineStr">
        <is>
          <t>COST_VALUE</t>
        </is>
      </c>
      <c r="M1" s="76" t="inlineStr">
        <is>
          <t>RETAIL_VALUE</t>
        </is>
      </c>
      <c r="N1" s="76" t="inlineStr">
        <is>
          <t>CartonID</t>
        </is>
      </c>
      <c r="O1" s="76" t="inlineStr">
        <is>
          <t>IsAcknowledged</t>
        </is>
      </c>
      <c r="P1" s="76" t="inlineStr">
        <is>
          <t>IncludeInHRP</t>
        </is>
      </c>
      <c r="Q1" s="76" t="inlineStr">
        <is>
          <t>AgeBucket</t>
        </is>
      </c>
    </row>
    <row r="2">
      <c r="A2" t="inlineStr">
        <is>
          <t>HRP</t>
        </is>
      </c>
      <c r="B2" t="n">
        <v>0</v>
      </c>
      <c r="C2" s="77" t="n">
        <v>46137.58305359034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LPN</t>
        </is>
      </c>
      <c r="D1" s="76" t="inlineStr">
        <is>
          <t>EnteredBy</t>
        </is>
      </c>
      <c r="E1" s="76" t="inlineStr">
        <is>
          <t>Notes</t>
        </is>
      </c>
      <c r="F1" s="76" t="inlineStr">
        <is>
          <t>DupFlag</t>
        </is>
      </c>
    </row>
    <row r="2">
      <c r="A2" s="78" t="n">
        <v>46137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StaffAvailable</t>
        </is>
      </c>
    </row>
    <row r="2">
      <c r="A2" s="78" t="n">
        <v>46137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TargetPerPersonPerShift</t>
        </is>
      </c>
    </row>
    <row r="2">
      <c r="A2" s="78" t="n">
        <v>46137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AuditCount</t>
        </is>
      </c>
      <c r="E1" s="76" t="inlineStr">
        <is>
          <t>Notes</t>
        </is>
      </c>
    </row>
    <row r="2">
      <c r="A2" s="78" t="n">
        <v>46137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ShippedCartons</t>
        </is>
      </c>
      <c r="D1" s="76" t="inlineStr">
        <is>
          <t>TotalStaff</t>
        </is>
      </c>
      <c r="E1" s="76" t="inlineStr">
        <is>
          <t>TargetPerPerson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AuditCount</t>
        </is>
      </c>
      <c r="J1" s="76" t="inlineStr">
        <is>
          <t>AuditTarget</t>
        </is>
      </c>
      <c r="K1" s="76" t="inlineStr">
        <is>
          <t>AuditPct</t>
        </is>
      </c>
      <c r="L1" s="76" t="inlineStr">
        <is>
          <t>HRPOpen</t>
        </is>
      </c>
      <c r="M1" s="76" t="inlineStr">
        <is>
          <t>PackedOverdue</t>
        </is>
      </c>
    </row>
    <row r="2">
      <c r="A2" s="78" t="n">
        <v>46137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79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79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76" t="inlineStr">
        <is>
          <t>BusinessDate</t>
        </is>
      </c>
      <c r="B1" s="76" t="inlineStr">
        <is>
          <t>TotalShipped</t>
        </is>
      </c>
      <c r="C1" s="76" t="inlineStr">
        <is>
          <t>TotalStaff</t>
        </is>
      </c>
      <c r="D1" s="76" t="inlineStr">
        <is>
          <t>TotalExpected</t>
        </is>
      </c>
      <c r="E1" s="76" t="inlineStr">
        <is>
          <t>DailyPerformancePct</t>
        </is>
      </c>
    </row>
    <row r="2">
      <c r="A2" s="78" t="n">
        <v>46137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79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80" t="inlineStr">
        <is>
          <t>CATEGORY</t>
        </is>
      </c>
      <c r="B1" s="80" t="inlineStr">
        <is>
          <t>CartonID</t>
        </is>
      </c>
      <c r="C1" s="80" t="inlineStr">
        <is>
          <t>STORE_NUMBER</t>
        </is>
      </c>
      <c r="D1" s="80" t="inlineStr">
        <is>
          <t>STORE_NAME</t>
        </is>
      </c>
      <c r="E1" s="80" t="inlineStr">
        <is>
          <t>DAYS_SINCE_AVAILABLE_FOR_CITY</t>
        </is>
      </c>
      <c r="F1" s="80" t="inlineStr">
        <is>
          <t>STORE_ACK_STATUS</t>
        </is>
      </c>
      <c r="G1" s="80" t="inlineStr">
        <is>
          <t>UNITS</t>
        </is>
      </c>
      <c r="H1" s="80" t="inlineStr">
        <is>
          <t>COST_VALUE</t>
        </is>
      </c>
      <c r="I1" s="80" t="inlineStr">
        <is>
          <t>Owner</t>
        </is>
      </c>
      <c r="J1" s="80" t="inlineStr">
        <is>
          <t>ContactedCity</t>
        </is>
      </c>
      <c r="K1" s="80" t="inlineStr">
        <is>
          <t>ContactTime</t>
        </is>
      </c>
      <c r="L1" s="80" t="inlineStr">
        <is>
          <t>NextStep</t>
        </is>
      </c>
    </row>
    <row r="2">
      <c r="A2" s="81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80" t="inlineStr">
        <is>
          <t>LPN</t>
        </is>
      </c>
      <c r="B1" s="80" t="inlineStr">
        <is>
          <t>STORE</t>
        </is>
      </c>
      <c r="C1" s="80" t="inlineStr">
        <is>
          <t>DIVISION</t>
        </is>
      </c>
      <c r="D1" s="80" t="inlineStr">
        <is>
          <t>AgeDays</t>
        </is>
      </c>
      <c r="E1" s="80" t="inlineStr">
        <is>
          <t>PackedStatus</t>
        </is>
      </c>
      <c r="F1" s="80" t="inlineStr">
        <is>
          <t>UNITS</t>
        </is>
      </c>
      <c r="G1" s="80" t="inlineStr">
        <is>
          <t>HoldReason</t>
        </is>
      </c>
      <c r="H1" s="80" t="inlineStr">
        <is>
          <t>Owner</t>
        </is>
      </c>
      <c r="I1" s="80" t="inlineStr">
        <is>
          <t>PlannedShipTime</t>
        </is>
      </c>
    </row>
    <row r="2">
      <c r="A2" s="81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76" t="inlineStr">
        <is>
          <t>SnapshotTimestamp</t>
        </is>
      </c>
      <c r="B1" s="76" t="inlineStr">
        <is>
          <t>BusinessDate</t>
        </is>
      </c>
      <c r="C1" s="76" t="inlineStr">
        <is>
          <t>ShiftName</t>
        </is>
      </c>
      <c r="D1" s="76" t="inlineStr">
        <is>
          <t>ShippedCartons</t>
        </is>
      </c>
      <c r="E1" s="76" t="inlineStr">
        <is>
          <t>TotalStaff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HRP_OpenCount</t>
        </is>
      </c>
      <c r="J1" s="76" t="inlineStr">
        <is>
          <t>Packed_OverdueCount</t>
        </is>
      </c>
      <c r="K1" s="76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82" t="inlineStr">
        <is>
          <t>DATA QUALITY CHECKS</t>
        </is>
      </c>
    </row>
    <row r="2"/>
    <row r="3">
      <c r="A3" s="76" t="inlineStr">
        <is>
          <t>Check</t>
        </is>
      </c>
      <c r="B3" s="76" t="inlineStr">
        <is>
          <t>Formula / Logic</t>
        </is>
      </c>
      <c r="C3" s="76" t="inlineStr">
        <is>
          <t>Result</t>
        </is>
      </c>
      <c r="D3" s="76" t="inlineStr">
        <is>
          <t>Status</t>
        </is>
      </c>
    </row>
    <row r="4">
      <c r="A4" s="83" t="inlineStr">
        <is>
          <t>Missing CartonID in HRP</t>
        </is>
      </c>
      <c r="B4" s="83" t="inlineStr">
        <is>
          <t>'=COUNTIFS(tblHRP[CartonID],"")</t>
        </is>
      </c>
      <c r="C4" s="83">
        <f>COUNTIFS(tblHRP[CartonID],"")</f>
        <v/>
      </c>
      <c r="D4" s="83">
        <f>IF(C4=0,"OK","WARNING")</f>
        <v/>
      </c>
    </row>
    <row r="5">
      <c r="A5" s="83" t="inlineStr">
        <is>
          <t>Future dates in IN_PACKED (LAST_PACKED)</t>
        </is>
      </c>
      <c r="B5" s="83" t="inlineStr">
        <is>
          <t>'=COUNTIF(tblPacked[LAST_PACKED],"&gt;"&amp;TODAY())</t>
        </is>
      </c>
      <c r="C5" s="83">
        <f>COUNTIF(tblPacked[LAST_PACKED],"&gt;"&amp;TODAY())</f>
        <v/>
      </c>
      <c r="D5" s="83">
        <f>IF(C5=0,"OK","WARNING")</f>
        <v/>
      </c>
    </row>
    <row r="6">
      <c r="A6" s="83" t="inlineStr">
        <is>
          <t>Future dates in IN_SHIPPED_LPNS (BusinessDate)</t>
        </is>
      </c>
      <c r="B6" s="83" t="inlineStr">
        <is>
          <t>'=COUNTIF(tblShipped[BusinessDate],"&gt;"&amp;TODAY())</t>
        </is>
      </c>
      <c r="C6" s="83">
        <f>COUNTIF(tblShipped[BusinessDate],"&gt;"&amp;TODAY())</f>
        <v/>
      </c>
      <c r="D6" s="83">
        <f>IF(C6=0,"OK","WARNING")</f>
        <v/>
      </c>
    </row>
    <row r="7">
      <c r="A7" s="83" t="inlineStr">
        <is>
          <t>Duplicate LPNs in Shipped list</t>
        </is>
      </c>
      <c r="B7" s="83" t="inlineStr">
        <is>
          <t>'=COUNTIF(tblShipped[DupFlag],TRUE)</t>
        </is>
      </c>
      <c r="C7" s="83">
        <f>COUNTIF(tblShipped[DupFlag],TRUE)</f>
        <v/>
      </c>
      <c r="D7" s="83">
        <f>IF(C7=0,"OK","WARNING")</f>
        <v/>
      </c>
    </row>
    <row r="8">
      <c r="A8" s="83" t="inlineStr">
        <is>
          <t>StaffAvailable = 0 rows in Staffing</t>
        </is>
      </c>
      <c r="B8" s="83" t="inlineStr">
        <is>
          <t>'=COUNTIF(tblStaffing[StaffAvailable],0)</t>
        </is>
      </c>
      <c r="C8" s="83">
        <f>COUNTIF(tblStaffing[StaffAvailable],0)</f>
        <v/>
      </c>
      <c r="D8" s="83">
        <f>IF(C8=0,"OK","WARNING")</f>
        <v/>
      </c>
    </row>
    <row r="9">
      <c r="A9" s="83" t="inlineStr">
        <is>
          <t>Invalid ShiftName in Shipped (not Day/Night)</t>
        </is>
      </c>
      <c r="B9" s="83" t="inlineStr">
        <is>
          <t>'=SUMPRODUCT((tblShipped[ShiftName]&lt;&gt;"Day")*(tblShipped[ShiftName]&lt;&gt;"Night")*(tblShipped[ShiftName]&lt;&gt;""))</t>
        </is>
      </c>
      <c r="C9" s="83">
        <f>SUMPRODUCT((tblShipped[ShiftName]&lt;&gt;"Day")*(tblShipped[ShiftName]&lt;&gt;"Night")*(tblShipped[ShiftName]&lt;&gt;""))</f>
        <v/>
      </c>
      <c r="D9" s="83">
        <f>IF(C9=0,"OK","WARNING")</f>
        <v/>
      </c>
    </row>
    <row r="10">
      <c r="A10" s="83" t="inlineStr">
        <is>
          <t>Invalid ShiftName in Staffing</t>
        </is>
      </c>
      <c r="B10" s="83" t="inlineStr">
        <is>
          <t>'=SUMPRODUCT((tblStaffing[ShiftName]&lt;&gt;"Day")*(tblStaffing[ShiftName]&lt;&gt;"Night")*(tblStaffing[ShiftName]&lt;&gt;""))</t>
        </is>
      </c>
      <c r="C10" s="83">
        <f>SUMPRODUCT((tblStaffing[ShiftName]&lt;&gt;"Day")*(tblStaffing[ShiftName]&lt;&gt;"Night")*(tblStaffing[ShiftName]&lt;&gt;""))</f>
        <v/>
      </c>
      <c r="D10" s="83">
        <f>IF(C10=0,"OK","WARNING")</f>
        <v/>
      </c>
    </row>
    <row r="11">
      <c r="A11" s="83" t="inlineStr">
        <is>
          <t>HRP rows with IncludeInHRP=TRUE (open action items)</t>
        </is>
      </c>
      <c r="B11" s="83" t="inlineStr">
        <is>
          <t>'=COUNTIF(tblHRP[IncludeInHRP],TRUE)</t>
        </is>
      </c>
      <c r="C11" s="83">
        <f>COUNTIF(tblHRP[IncludeInHRP],TRUE)</f>
        <v/>
      </c>
      <c r="D11" s="83">
        <f>IF(C11=0,"OK","WARNING")</f>
        <v/>
      </c>
    </row>
    <row r="12">
      <c r="A12" s="83" t="inlineStr">
        <is>
          <t>Packed items where ActionFlag=TRUE (overdue)</t>
        </is>
      </c>
      <c r="B12" s="83" t="inlineStr">
        <is>
          <t>'=COUNTIF(tblPacked[ActionFlag],TRUE)</t>
        </is>
      </c>
      <c r="C12" s="83">
        <f>COUNTIF(tblPacked[ActionFlag],TRUE)</f>
        <v/>
      </c>
      <c r="D12" s="83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2026-04-25T13:59:35Z</dcterms:created>
  <dcterms:modified xsi:type="dcterms:W3CDTF">2026-04-25T13:59:35Z</dcterms:modified>
</cp:coreProperties>
</file>